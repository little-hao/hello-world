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7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ohao/Desktop/VBA/"/>
    </mc:Choice>
  </mc:AlternateContent>
  <xr:revisionPtr revIDLastSave="0" documentId="13_ncr:1_{7BC40A61-C136-8D4B-9A01-1982B3569C6B}" xr6:coauthVersionLast="47" xr6:coauthVersionMax="47" xr10:uidLastSave="{00000000-0000-0000-0000-000000000000}"/>
  <bookViews>
    <workbookView xWindow="10160" yWindow="5120" windowWidth="20240" windowHeight="9860" tabRatio="628" xr2:uid="{00000000-000D-0000-FFFF-FFFF00000000}"/>
  </bookViews>
  <sheets>
    <sheet name="Chart" sheetId="70" r:id="rId1"/>
    <sheet name="Query" sheetId="65" r:id="rId2"/>
    <sheet name="Criteria" sheetId="67" r:id="rId3"/>
    <sheet name="introduction" sheetId="71" state="hidden" r:id="rId4"/>
  </sheets>
  <definedNames>
    <definedName name="_xlnm._FilterDatabase" localSheetId="1" hidden="1">Query!$A$15:$Q$15</definedName>
    <definedName name="_xlnm.Criteria" localSheetId="2">Criteria!$D$2:$E$3</definedName>
    <definedName name="_xlnm.Criteria" localSheetId="1">Query!#REF!</definedName>
    <definedName name="str1_" localSheetId="1">Query!$A$3:$Z$41</definedName>
    <definedName name="_xlnm.Extract" localSheetId="2">Criteria!$F$6:$G$6</definedName>
    <definedName name="_xlnm.Extract" localSheetId="1">Query!#REF!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65" l="1" a="1"/>
  <c r="H4" i="65" s="1"/>
  <c r="G4" i="65" s="1"/>
  <c r="H6" i="65" a="1"/>
  <c r="H6" i="65" s="1"/>
  <c r="G6" i="65" s="1"/>
  <c r="X25" i="70" l="1"/>
  <c r="W25" i="70"/>
  <c r="Y25" i="70" l="1"/>
  <c r="D5" i="65"/>
  <c r="W24" i="70" l="1"/>
  <c r="E37" i="70"/>
  <c r="E38" i="70"/>
  <c r="E39" i="70"/>
  <c r="E40" i="70"/>
  <c r="E41" i="70"/>
  <c r="E42" i="70"/>
  <c r="E43" i="70"/>
  <c r="E44" i="70"/>
  <c r="E45" i="70"/>
  <c r="E46" i="70"/>
  <c r="E47" i="70"/>
  <c r="E48" i="70"/>
  <c r="E49" i="70"/>
  <c r="E50" i="70"/>
  <c r="E51" i="70"/>
  <c r="E52" i="70"/>
  <c r="E53" i="70"/>
  <c r="E54" i="70"/>
  <c r="E55" i="70"/>
  <c r="E56" i="70"/>
  <c r="E57" i="70"/>
  <c r="E8" i="70"/>
  <c r="E9" i="70"/>
  <c r="E10" i="70"/>
  <c r="E11" i="70"/>
  <c r="E12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27" i="70"/>
  <c r="E28" i="70"/>
  <c r="E29" i="70"/>
  <c r="E30" i="70"/>
  <c r="E31" i="70"/>
  <c r="E32" i="70"/>
  <c r="E33" i="70"/>
  <c r="E34" i="70"/>
  <c r="E35" i="70"/>
  <c r="E36" i="70"/>
  <c r="E7" i="70"/>
  <c r="X24" i="70" l="1"/>
  <c r="Y24" i="70" s="1"/>
  <c r="X23" i="70"/>
  <c r="W23" i="70"/>
  <c r="W26" i="70" s="1"/>
  <c r="X26" i="70" l="1"/>
  <c r="Y23" i="70"/>
  <c r="Y26" i="70" s="1"/>
  <c r="I6" i="70"/>
  <c r="H6" i="70"/>
  <c r="D1" i="70"/>
  <c r="V33" i="70" l="1"/>
  <c r="V32" i="70"/>
  <c r="V31" i="70"/>
  <c r="X30" i="70"/>
  <c r="W30" i="70"/>
  <c r="V25" i="70"/>
  <c r="V24" i="70"/>
  <c r="V23" i="70"/>
  <c r="X22" i="70"/>
  <c r="W22" i="70"/>
  <c r="X33" i="70" l="1"/>
  <c r="W33" i="70"/>
  <c r="W32" i="70"/>
  <c r="X31" i="70"/>
  <c r="X32" i="70"/>
  <c r="W31" i="7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连接" type="4" refreshedVersion="0" background="1">
    <webPr url="http://kweb.chn.nexchip/NewKWeb/Yield/CommonYield/SingleLotTracking?sFabId=N1&amp;sLotNo=str&amp;isUsage=true" htmlTables="1" htmlFormat="all"/>
  </connection>
  <connection id="2" xr16:uid="{00000000-0015-0000-FFFF-FFFF01000000}" name="连接1" type="4" refreshedVersion="0" background="1">
    <webPr url="http://kweb.chn.nexchip/NewKWeb/Yield/CommonYield/SingleLotTracking?sFabId=N1&amp;sLotNo=str&amp;isUsage=true" htmlTables="1" htmlFormat="all"/>
  </connection>
  <connection id="3" xr16:uid="{00000000-0015-0000-FFFF-FFFF02000000}" name="连接2" type="4" refreshedVersion="0" background="1">
    <webPr url="http://kweb.chn.nexchip/NewKWeb/Yield/CommonYield/SingleLotTracking?sFabId=N1&amp;sLotNo=str&amp;isUsage=true" htmlTables="1" htmlFormat="all"/>
  </connection>
  <connection id="4" xr16:uid="{00000000-0015-0000-FFFF-FFFF03000000}" name="连接3" type="4" refreshedVersion="0" background="1">
    <webPr url="http://kweb.chn.nexchip/NewKWeb/Yield/CommonYield/SingleLotTracking?sFabId=N1&amp;sLotNo=NAZ526000&amp;isUsage=true" htmlTables="1" htmlFormat="all"/>
  </connection>
  <connection id="5" xr16:uid="{00000000-0015-0000-FFFF-FFFF04000000}" name="连接4" type="4" refreshedVersion="0" background="1">
    <webPr url="http://kweb.chn.nexchip/NewKWeb/Yield/CommonYield/GetInlineEDData?sFabId=N1&amp;sLotNo=NAZ526000&amp;sOpeNo=&amp;sClaimTime=0:00:00&amp;sEqpID=&amp;sReworkCount=0" htmlTables="1" htmlFormat="all"/>
  </connection>
  <connection id="6" xr16:uid="{00000000-0015-0000-FFFF-FFFF05000000}" name="连接5" type="4" refreshedVersion="0" background="1">
    <webPr url="http://kweb.chn.nexchip/NewKWeb/Yield/CommonYield/SingleLotTracking?sFabId=N1&amp;sLotNo=NAZ526000&amp;isUsage=true" htmlTables="1" htmlFormat="all"/>
  </connection>
  <connection id="7" xr16:uid="{00000000-0015-0000-FFFF-FFFF06000000}" name="连接7" type="4" refreshedVersion="6" background="1" saveData="1">
    <webPr sourceData="1" parsePre="1" consecutive="1" xl2000="1" url="http://kweb.chn.nexchip/NewKWeb/Yield/CommonYield/SingleLotTracking?sFabId=N1&amp;sLotNo=NAZ047350&amp;isUsage=true"/>
  </connection>
  <connection id="8" xr16:uid="{00000000-0015-0000-FFFF-FFFF07000000}" name="连接8" type="4" refreshedVersion="0" background="1">
    <webPr url="http://kweb.chn.nexchip/NewKWeb/Yield/CommonYield/SingleLotTracking?sFabId=N1&amp;sLotNo='str'&amp;isUsage=true" htmlTables="1" htmlFormat="all"/>
  </connection>
</connections>
</file>

<file path=xl/sharedStrings.xml><?xml version="1.0" encoding="utf-8"?>
<sst xmlns="http://schemas.openxmlformats.org/spreadsheetml/2006/main" count="257" uniqueCount="82">
  <si>
    <t>OK</t>
  </si>
  <si>
    <t>PARAMETER_ID</t>
  </si>
  <si>
    <t>WAFER_ID</t>
  </si>
  <si>
    <t>SITE</t>
  </si>
  <si>
    <t>VALUE</t>
  </si>
  <si>
    <t>NG</t>
  </si>
  <si>
    <t>THK</t>
    <phoneticPr fontId="3" type="noConversion"/>
  </si>
  <si>
    <t>GOF</t>
    <phoneticPr fontId="3" type="noConversion"/>
  </si>
  <si>
    <t>Bias</t>
    <phoneticPr fontId="3" type="noConversion"/>
  </si>
  <si>
    <t xml:space="preserve"> </t>
    <phoneticPr fontId="3" type="noConversion"/>
  </si>
  <si>
    <t>Thickness</t>
    <phoneticPr fontId="3" type="noConversion"/>
  </si>
  <si>
    <t>bias</t>
    <phoneticPr fontId="3" type="noConversion"/>
  </si>
  <si>
    <t>Average</t>
    <phoneticPr fontId="3" type="noConversion"/>
  </si>
  <si>
    <t>Range</t>
    <phoneticPr fontId="3" type="noConversion"/>
  </si>
  <si>
    <t>24#</t>
    <phoneticPr fontId="3" type="noConversion"/>
  </si>
  <si>
    <t>Lot_ID</t>
    <phoneticPr fontId="1" type="noConversion"/>
  </si>
  <si>
    <t>OPE_NO</t>
    <phoneticPr fontId="1" type="noConversion"/>
  </si>
  <si>
    <t>EQPID</t>
    <phoneticPr fontId="1" type="noConversion"/>
  </si>
  <si>
    <t>TDS1</t>
    <phoneticPr fontId="1" type="noConversion"/>
  </si>
  <si>
    <t>FDS1</t>
    <phoneticPr fontId="1" type="noConversion"/>
  </si>
  <si>
    <t>筛选条件</t>
    <phoneticPr fontId="1" type="noConversion"/>
  </si>
  <si>
    <t>TQC1</t>
    <phoneticPr fontId="1" type="noConversion"/>
  </si>
  <si>
    <t>RECIPE(Y)</t>
    <phoneticPr fontId="1" type="noConversion"/>
  </si>
  <si>
    <t>EQP_ID(M)</t>
    <phoneticPr fontId="1" type="noConversion"/>
  </si>
  <si>
    <t>LOT_ID(C)</t>
    <phoneticPr fontId="1" type="noConversion"/>
  </si>
  <si>
    <t>Recipe</t>
    <phoneticPr fontId="1" type="noConversion"/>
  </si>
  <si>
    <t>No</t>
    <phoneticPr fontId="1" type="noConversion"/>
  </si>
  <si>
    <t>MatchFind ⬇</t>
    <phoneticPr fontId="1" type="noConversion"/>
  </si>
  <si>
    <t>OPE_NO(G)</t>
    <phoneticPr fontId="1" type="noConversion"/>
  </si>
  <si>
    <t>Time</t>
    <phoneticPr fontId="1" type="noConversion"/>
  </si>
  <si>
    <t>⬆(Lot ID需对应)⬇</t>
    <phoneticPr fontId="1" type="noConversion"/>
  </si>
  <si>
    <t>⬆(Lot 需对应)⬇</t>
    <phoneticPr fontId="1" type="noConversion"/>
  </si>
  <si>
    <t>⬆(量测机台)⬇</t>
    <phoneticPr fontId="1" type="noConversion"/>
  </si>
  <si>
    <t>⬆[ PPID ]⬇</t>
    <phoneticPr fontId="1" type="noConversion"/>
  </si>
  <si>
    <t>FDS1</t>
  </si>
  <si>
    <t>TDS1</t>
  </si>
  <si>
    <t>Range: 模糊查询最近300站QC DYB站点同Recipe/PPID</t>
    <phoneticPr fontId="1" type="noConversion"/>
  </si>
  <si>
    <t>.</t>
    <phoneticPr fontId="1" type="noConversion"/>
  </si>
  <si>
    <t>Rework</t>
    <phoneticPr fontId="1" type="noConversion"/>
  </si>
  <si>
    <t>Update instructions</t>
    <phoneticPr fontId="1" type="noConversion"/>
  </si>
  <si>
    <t>1、QC match精准查询，针对不同LotID和不同站点，如前后</t>
    <phoneticPr fontId="1" type="noConversion"/>
  </si>
  <si>
    <t>使用须知：
1、上方橙黄色单元格需手动输入对应LotID, OPE_NO, EQPID, Recipe, 单击初步查询等候约20S，下方table表中会统计站点记录
2、在"NO"列输入下表中"XX.TQC站点NO"列对应所需行的值，单击精准查询
3、转到工作表"Chart"中单击update，更新data</t>
    <phoneticPr fontId="1" type="noConversion"/>
  </si>
  <si>
    <t>XX.TQC01</t>
    <phoneticPr fontId="1" type="noConversion"/>
  </si>
  <si>
    <t>XX.TQC02</t>
    <phoneticPr fontId="1" type="noConversion"/>
  </si>
  <si>
    <t>1#</t>
    <phoneticPr fontId="3" type="noConversion"/>
  </si>
  <si>
    <t>14#</t>
    <phoneticPr fontId="3" type="noConversion"/>
  </si>
  <si>
    <t>参考No.</t>
    <phoneticPr fontId="1" type="noConversion"/>
  </si>
  <si>
    <t>⬅</t>
    <phoneticPr fontId="1" type="noConversion"/>
  </si>
  <si>
    <t>XX.TQC02</t>
  </si>
  <si>
    <t>XX.TQC01</t>
  </si>
  <si>
    <t>站点NO</t>
    <phoneticPr fontId="1" type="noConversion"/>
  </si>
  <si>
    <t>NO(初步查询后Key in)</t>
    <phoneticPr fontId="1" type="noConversion"/>
  </si>
  <si>
    <t xml:space="preserve"> 002.CR09011FC10.AA</t>
  </si>
  <si>
    <t xml:space="preserve"> 001.CR09011FC10.AA</t>
  </si>
  <si>
    <t xml:space="preserve"> QC Tool51</t>
  </si>
  <si>
    <t xml:space="preserve"> QC Tool02</t>
  </si>
  <si>
    <t>LOT000</t>
  </si>
  <si>
    <t>PPIDC30</t>
  </si>
  <si>
    <t>PPIDC30.AA</t>
  </si>
  <si>
    <t xml:space="preserve"> 003.PPIDC10.AA</t>
  </si>
  <si>
    <t xml:space="preserve"> 002.PPIDC30.AA</t>
  </si>
  <si>
    <t xml:space="preserve"> 002.PPIDC10.AA</t>
  </si>
  <si>
    <t>LOT-05</t>
  </si>
  <si>
    <t>LOT-14</t>
  </si>
  <si>
    <t>LOT-24</t>
  </si>
  <si>
    <t>LOTID</t>
    <phoneticPr fontId="1" type="noConversion"/>
  </si>
  <si>
    <t>QC Tool51</t>
  </si>
  <si>
    <t>QC Tool02</t>
  </si>
  <si>
    <t>注：QC Tool机台GOF&gt;0.95 可信</t>
  </si>
  <si>
    <t>Summary</t>
    <phoneticPr fontId="1" type="noConversion"/>
  </si>
  <si>
    <t>Call findmatch</t>
    <phoneticPr fontId="1" type="noConversion"/>
  </si>
  <si>
    <t>call spider</t>
    <phoneticPr fontId="1" type="noConversion"/>
  </si>
  <si>
    <t>call findmatch1</t>
    <phoneticPr fontId="1" type="noConversion"/>
  </si>
  <si>
    <t>call spider2</t>
    <phoneticPr fontId="1" type="noConversion"/>
  </si>
  <si>
    <t>lot tracing</t>
    <phoneticPr fontId="1" type="noConversion"/>
  </si>
  <si>
    <t>参数定义</t>
    <phoneticPr fontId="1" type="noConversion"/>
  </si>
  <si>
    <t>tracking模糊查询</t>
    <phoneticPr fontId="1" type="noConversion"/>
  </si>
  <si>
    <t>copy data</t>
    <phoneticPr fontId="1" type="noConversion"/>
  </si>
  <si>
    <t>query data</t>
    <phoneticPr fontId="1" type="noConversion"/>
  </si>
  <si>
    <t>call save col保留特定列</t>
    <phoneticPr fontId="1" type="noConversion"/>
  </si>
  <si>
    <t>data filter</t>
    <phoneticPr fontId="1" type="noConversion"/>
  </si>
  <si>
    <t>draw chart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</si>
</sst>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yyyy/m/d\ h:mm;@"/>
  </numFmts>
  <fonts count="13">
    <font>
      <sz val="10"/>
      <color theme="1"/>
      <name val="思源黑体 CN Regular"/>
      <family val="2"/>
      <charset val="134"/>
    </font>
    <font>
      <sz val="9"/>
      <name val="思源黑体 CN Regular"/>
      <family val="2"/>
      <charset val="134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6"/>
      <color theme="1"/>
      <name val="仿宋"/>
      <family val="3"/>
      <charset val="134"/>
    </font>
    <font>
      <sz val="11"/>
      <color theme="0"/>
      <name val="等线"/>
      <family val="2"/>
      <charset val="134"/>
      <scheme val="minor"/>
    </font>
    <font>
      <sz val="10"/>
      <color theme="0"/>
      <name val="思源黑体 CN Regular"/>
      <family val="2"/>
      <charset val="134"/>
    </font>
    <font>
      <sz val="9"/>
      <color theme="1"/>
      <name val="思源黑体 CN Regular"/>
      <family val="2"/>
      <charset val="134"/>
    </font>
    <font>
      <sz val="6"/>
      <color theme="1"/>
      <name val="思源黑体 CN Regular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4" fillId="0" borderId="0">
      <alignment vertical="center"/>
    </xf>
  </cellStyleXfs>
  <cellXfs count="5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0" borderId="0" xfId="1"/>
    <xf numFmtId="0" fontId="4" fillId="0" borderId="0" xfId="2">
      <alignment vertical="center"/>
    </xf>
    <xf numFmtId="0" fontId="4" fillId="0" borderId="0" xfId="3">
      <alignment vertical="center"/>
    </xf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0" xfId="1" applyAlignment="1">
      <alignment horizontal="center"/>
    </xf>
    <xf numFmtId="0" fontId="6" fillId="2" borderId="0" xfId="1" applyFont="1" applyFill="1"/>
    <xf numFmtId="0" fontId="5" fillId="3" borderId="0" xfId="1" applyFont="1" applyFill="1"/>
    <xf numFmtId="0" fontId="2" fillId="0" borderId="1" xfId="1" applyBorder="1" applyAlignment="1">
      <alignment horizontal="center"/>
    </xf>
    <xf numFmtId="0" fontId="2" fillId="4" borderId="0" xfId="1" applyFill="1"/>
    <xf numFmtId="0" fontId="2" fillId="5" borderId="0" xfId="1" applyFill="1"/>
    <xf numFmtId="0" fontId="4" fillId="4" borderId="0" xfId="2" applyFill="1">
      <alignment vertical="center"/>
    </xf>
    <xf numFmtId="176" fontId="7" fillId="6" borderId="1" xfId="1" applyNumberFormat="1" applyFont="1" applyFill="1" applyBorder="1" applyAlignment="1">
      <alignment horizontal="center" vertical="center"/>
    </xf>
    <xf numFmtId="176" fontId="7" fillId="6" borderId="2" xfId="1" applyNumberFormat="1" applyFont="1" applyFill="1" applyBorder="1" applyAlignment="1">
      <alignment horizontal="center" vertical="center"/>
    </xf>
    <xf numFmtId="176" fontId="7" fillId="6" borderId="1" xfId="1" applyNumberFormat="1" applyFont="1" applyFill="1" applyBorder="1"/>
    <xf numFmtId="176" fontId="7" fillId="7" borderId="1" xfId="1" applyNumberFormat="1" applyFont="1" applyFill="1" applyBorder="1"/>
    <xf numFmtId="176" fontId="7" fillId="7" borderId="1" xfId="1" applyNumberFormat="1" applyFont="1" applyFill="1" applyBorder="1" applyAlignment="1">
      <alignment horizontal="center" vertical="center"/>
    </xf>
    <xf numFmtId="176" fontId="2" fillId="0" borderId="0" xfId="1" applyNumberFormat="1"/>
    <xf numFmtId="176" fontId="4" fillId="0" borderId="0" xfId="3" applyNumberFormat="1">
      <alignment vertical="center"/>
    </xf>
    <xf numFmtId="176" fontId="2" fillId="0" borderId="0" xfId="1" applyNumberFormat="1" applyAlignment="1">
      <alignment vertical="center"/>
    </xf>
    <xf numFmtId="176" fontId="5" fillId="0" borderId="1" xfId="1" applyNumberFormat="1" applyFont="1" applyBorder="1" applyAlignment="1">
      <alignment horizontal="center" vertical="center"/>
    </xf>
    <xf numFmtId="176" fontId="2" fillId="4" borderId="1" xfId="1" applyNumberForma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/>
    </xf>
    <xf numFmtId="176" fontId="4" fillId="9" borderId="1" xfId="2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0" borderId="0" xfId="2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8" fillId="10" borderId="0" xfId="2" applyFont="1" applyFill="1" applyAlignment="1">
      <alignment horizontal="center" vertic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left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5" fillId="10" borderId="6" xfId="1" applyFont="1" applyFill="1" applyBorder="1" applyAlignment="1">
      <alignment horizontal="center"/>
    </xf>
    <xf numFmtId="0" fontId="5" fillId="1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常规" xfId="0" builtinId="0"/>
    <cellStyle name="常规 2" xfId="1" xr:uid="{00000000-0005-0000-0000-000001000000}"/>
    <cellStyle name="常规 2 2" xfId="2" xr:uid="{00000000-0005-0000-0000-000002000000}"/>
    <cellStyle name="常规 3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Layer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227765392963053"/>
          <c:y val="0.14224578973650784"/>
          <c:w val="0.85571412835116223"/>
          <c:h val="0.59441190468838678"/>
        </c:manualLayout>
      </c:layout>
      <c:lineChart>
        <c:grouping val="standard"/>
        <c:varyColors val="0"/>
        <c:ser>
          <c:idx val="0"/>
          <c:order val="0"/>
          <c:tx>
            <c:strRef>
              <c:f>Chart!$C$6</c:f>
              <c:strCache>
                <c:ptCount val="1"/>
                <c:pt idx="0">
                  <c:v>QC Tool51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Chart!$A$7:$B$57</c:f>
              <c:multiLvlStrCache>
                <c:ptCount val="5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16</c:v>
                  </c:pt>
                  <c:pt idx="33">
                    <c:v>17</c:v>
                  </c:pt>
                  <c:pt idx="34">
                    <c:v>1</c:v>
                  </c:pt>
                  <c:pt idx="35">
                    <c:v>2</c:v>
                  </c:pt>
                  <c:pt idx="36">
                    <c:v>3</c:v>
                  </c:pt>
                  <c:pt idx="37">
                    <c:v>4</c:v>
                  </c:pt>
                  <c:pt idx="38">
                    <c:v>5</c:v>
                  </c:pt>
                  <c:pt idx="39">
                    <c:v>6</c:v>
                  </c:pt>
                  <c:pt idx="40">
                    <c:v>7</c:v>
                  </c:pt>
                  <c:pt idx="41">
                    <c:v>8</c:v>
                  </c:pt>
                  <c:pt idx="42">
                    <c:v>9</c:v>
                  </c:pt>
                  <c:pt idx="43">
                    <c:v>10</c:v>
                  </c:pt>
                  <c:pt idx="44">
                    <c:v>11</c:v>
                  </c:pt>
                  <c:pt idx="45">
                    <c:v>12</c:v>
                  </c:pt>
                  <c:pt idx="46">
                    <c:v>13</c:v>
                  </c:pt>
                  <c:pt idx="47">
                    <c:v>14</c:v>
                  </c:pt>
                  <c:pt idx="48">
                    <c:v>15</c:v>
                  </c:pt>
                  <c:pt idx="49">
                    <c:v>16</c:v>
                  </c:pt>
                  <c:pt idx="50">
                    <c:v>17</c:v>
                  </c:pt>
                </c:lvl>
                <c:lvl>
                  <c:pt idx="0">
                    <c:v>1#</c:v>
                  </c:pt>
                  <c:pt idx="17">
                    <c:v>14#</c:v>
                  </c:pt>
                  <c:pt idx="34">
                    <c:v>24#</c:v>
                  </c:pt>
                </c:lvl>
              </c:multiLvlStrCache>
            </c:multiLvlStrRef>
          </c:cat>
          <c:val>
            <c:numRef>
              <c:f>Chart!$C$7:$C$57</c:f>
              <c:numCache>
                <c:formatCode>General</c:formatCode>
                <c:ptCount val="51"/>
                <c:pt idx="0">
                  <c:v>3748.0600589999999</c:v>
                </c:pt>
                <c:pt idx="1">
                  <c:v>3708.5600589999999</c:v>
                </c:pt>
                <c:pt idx="2">
                  <c:v>3710.3400879999999</c:v>
                </c:pt>
                <c:pt idx="3">
                  <c:v>3745.7700199999999</c:v>
                </c:pt>
                <c:pt idx="4">
                  <c:v>3707.98999</c:v>
                </c:pt>
                <c:pt idx="5">
                  <c:v>3781.8100589999999</c:v>
                </c:pt>
                <c:pt idx="6">
                  <c:v>3640.1298830000001</c:v>
                </c:pt>
                <c:pt idx="7">
                  <c:v>3678.169922</c:v>
                </c:pt>
                <c:pt idx="8">
                  <c:v>3671.75</c:v>
                </c:pt>
                <c:pt idx="9">
                  <c:v>3768.830078</c:v>
                </c:pt>
                <c:pt idx="10">
                  <c:v>3745.3100589999999</c:v>
                </c:pt>
                <c:pt idx="11">
                  <c:v>3635.98999</c:v>
                </c:pt>
                <c:pt idx="12">
                  <c:v>3641.929932</c:v>
                </c:pt>
                <c:pt idx="13">
                  <c:v>3621.5600589999999</c:v>
                </c:pt>
                <c:pt idx="14">
                  <c:v>3780.459961</c:v>
                </c:pt>
                <c:pt idx="15">
                  <c:v>3578.8798830000001</c:v>
                </c:pt>
                <c:pt idx="16">
                  <c:v>3599.530029</c:v>
                </c:pt>
                <c:pt idx="17">
                  <c:v>3734.679932</c:v>
                </c:pt>
                <c:pt idx="18">
                  <c:v>3653.8100589999999</c:v>
                </c:pt>
                <c:pt idx="19">
                  <c:v>3591.9099120000001</c:v>
                </c:pt>
                <c:pt idx="20">
                  <c:v>3667.320068</c:v>
                </c:pt>
                <c:pt idx="21">
                  <c:v>3594.929932</c:v>
                </c:pt>
                <c:pt idx="22">
                  <c:v>3674.320068</c:v>
                </c:pt>
                <c:pt idx="23">
                  <c:v>3526.459961</c:v>
                </c:pt>
                <c:pt idx="24">
                  <c:v>3618.040039</c:v>
                </c:pt>
                <c:pt idx="25">
                  <c:v>3584.679932</c:v>
                </c:pt>
                <c:pt idx="26">
                  <c:v>3651.1000979999999</c:v>
                </c:pt>
                <c:pt idx="27">
                  <c:v>3645.469971</c:v>
                </c:pt>
                <c:pt idx="28">
                  <c:v>3514.3701169999999</c:v>
                </c:pt>
                <c:pt idx="29">
                  <c:v>3574.98999</c:v>
                </c:pt>
                <c:pt idx="30">
                  <c:v>3528.51001</c:v>
                </c:pt>
                <c:pt idx="31">
                  <c:v>3624.209961</c:v>
                </c:pt>
                <c:pt idx="32">
                  <c:v>3515.419922</c:v>
                </c:pt>
                <c:pt idx="33">
                  <c:v>3542.219971</c:v>
                </c:pt>
                <c:pt idx="34">
                  <c:v>3644.6499020000001</c:v>
                </c:pt>
                <c:pt idx="35">
                  <c:v>3623.4499510000001</c:v>
                </c:pt>
                <c:pt idx="36">
                  <c:v>3583.8701169999999</c:v>
                </c:pt>
                <c:pt idx="37">
                  <c:v>3608.429932</c:v>
                </c:pt>
                <c:pt idx="38">
                  <c:v>3591.780029</c:v>
                </c:pt>
                <c:pt idx="39">
                  <c:v>3669.969971</c:v>
                </c:pt>
                <c:pt idx="40">
                  <c:v>3525.780029</c:v>
                </c:pt>
                <c:pt idx="41">
                  <c:v>3616.1899410000001</c:v>
                </c:pt>
                <c:pt idx="42">
                  <c:v>3549.0900879999999</c:v>
                </c:pt>
                <c:pt idx="43">
                  <c:v>3569.169922</c:v>
                </c:pt>
                <c:pt idx="44">
                  <c:v>3556.459961</c:v>
                </c:pt>
                <c:pt idx="45">
                  <c:v>3511.3400879999999</c:v>
                </c:pt>
                <c:pt idx="46">
                  <c:v>3544.01001</c:v>
                </c:pt>
                <c:pt idx="47">
                  <c:v>3505.8100589999999</c:v>
                </c:pt>
                <c:pt idx="48">
                  <c:v>3552.919922</c:v>
                </c:pt>
                <c:pt idx="49">
                  <c:v>3457.4399410000001</c:v>
                </c:pt>
                <c:pt idx="50">
                  <c:v>3514.290039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3-49CE-AA9C-F73E3BC4FFE6}"/>
            </c:ext>
          </c:extLst>
        </c:ser>
        <c:ser>
          <c:idx val="1"/>
          <c:order val="1"/>
          <c:tx>
            <c:strRef>
              <c:f>Chart!$D$6</c:f>
              <c:strCache>
                <c:ptCount val="1"/>
                <c:pt idx="0">
                  <c:v>QC Tool02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Chart!$A$7:$B$57</c:f>
              <c:multiLvlStrCache>
                <c:ptCount val="5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16</c:v>
                  </c:pt>
                  <c:pt idx="33">
                    <c:v>17</c:v>
                  </c:pt>
                  <c:pt idx="34">
                    <c:v>1</c:v>
                  </c:pt>
                  <c:pt idx="35">
                    <c:v>2</c:v>
                  </c:pt>
                  <c:pt idx="36">
                    <c:v>3</c:v>
                  </c:pt>
                  <c:pt idx="37">
                    <c:v>4</c:v>
                  </c:pt>
                  <c:pt idx="38">
                    <c:v>5</c:v>
                  </c:pt>
                  <c:pt idx="39">
                    <c:v>6</c:v>
                  </c:pt>
                  <c:pt idx="40">
                    <c:v>7</c:v>
                  </c:pt>
                  <c:pt idx="41">
                    <c:v>8</c:v>
                  </c:pt>
                  <c:pt idx="42">
                    <c:v>9</c:v>
                  </c:pt>
                  <c:pt idx="43">
                    <c:v>10</c:v>
                  </c:pt>
                  <c:pt idx="44">
                    <c:v>11</c:v>
                  </c:pt>
                  <c:pt idx="45">
                    <c:v>12</c:v>
                  </c:pt>
                  <c:pt idx="46">
                    <c:v>13</c:v>
                  </c:pt>
                  <c:pt idx="47">
                    <c:v>14</c:v>
                  </c:pt>
                  <c:pt idx="48">
                    <c:v>15</c:v>
                  </c:pt>
                  <c:pt idx="49">
                    <c:v>16</c:v>
                  </c:pt>
                  <c:pt idx="50">
                    <c:v>17</c:v>
                  </c:pt>
                </c:lvl>
                <c:lvl>
                  <c:pt idx="0">
                    <c:v>1#</c:v>
                  </c:pt>
                  <c:pt idx="17">
                    <c:v>14#</c:v>
                  </c:pt>
                  <c:pt idx="34">
                    <c:v>24#</c:v>
                  </c:pt>
                </c:lvl>
              </c:multiLvlStrCache>
            </c:multiLvlStrRef>
          </c:cat>
          <c:val>
            <c:numRef>
              <c:f>Chart!$D$7:$D$57</c:f>
              <c:numCache>
                <c:formatCode>General</c:formatCode>
                <c:ptCount val="51"/>
                <c:pt idx="0">
                  <c:v>3750.9499510000001</c:v>
                </c:pt>
                <c:pt idx="1">
                  <c:v>3709.6499020000001</c:v>
                </c:pt>
                <c:pt idx="2">
                  <c:v>3712.0900879999999</c:v>
                </c:pt>
                <c:pt idx="3">
                  <c:v>3747.969971</c:v>
                </c:pt>
                <c:pt idx="4">
                  <c:v>3709.290039</c:v>
                </c:pt>
                <c:pt idx="5">
                  <c:v>3785.6999510000001</c:v>
                </c:pt>
                <c:pt idx="6">
                  <c:v>3645.280029</c:v>
                </c:pt>
                <c:pt idx="7">
                  <c:v>3683.1499020000001</c:v>
                </c:pt>
                <c:pt idx="8">
                  <c:v>3667.4799800000001</c:v>
                </c:pt>
                <c:pt idx="9">
                  <c:v>3770.389893</c:v>
                </c:pt>
                <c:pt idx="10">
                  <c:v>3746.73999</c:v>
                </c:pt>
                <c:pt idx="11">
                  <c:v>3645.5600589999999</c:v>
                </c:pt>
                <c:pt idx="12">
                  <c:v>3642.389893</c:v>
                </c:pt>
                <c:pt idx="13">
                  <c:v>3621.6499020000001</c:v>
                </c:pt>
                <c:pt idx="14">
                  <c:v>3782.389893</c:v>
                </c:pt>
                <c:pt idx="15">
                  <c:v>3584.7700199999999</c:v>
                </c:pt>
                <c:pt idx="16">
                  <c:v>3606.070068</c:v>
                </c:pt>
                <c:pt idx="17">
                  <c:v>3733.1298830000001</c:v>
                </c:pt>
                <c:pt idx="18">
                  <c:v>3655.969971</c:v>
                </c:pt>
                <c:pt idx="19">
                  <c:v>3593.6899410000001</c:v>
                </c:pt>
                <c:pt idx="20">
                  <c:v>3668.209961</c:v>
                </c:pt>
                <c:pt idx="21">
                  <c:v>3595.459961</c:v>
                </c:pt>
                <c:pt idx="22">
                  <c:v>3675.3400879999999</c:v>
                </c:pt>
                <c:pt idx="23">
                  <c:v>3521.429932</c:v>
                </c:pt>
                <c:pt idx="24">
                  <c:v>3612.9399410000001</c:v>
                </c:pt>
                <c:pt idx="25">
                  <c:v>3588.669922</c:v>
                </c:pt>
                <c:pt idx="26">
                  <c:v>3654.169922</c:v>
                </c:pt>
                <c:pt idx="27">
                  <c:v>3647.1599120000001</c:v>
                </c:pt>
                <c:pt idx="28">
                  <c:v>3506.790039</c:v>
                </c:pt>
                <c:pt idx="29">
                  <c:v>3570.6000979999999</c:v>
                </c:pt>
                <c:pt idx="30">
                  <c:v>3533.25</c:v>
                </c:pt>
                <c:pt idx="31">
                  <c:v>3626.23999</c:v>
                </c:pt>
                <c:pt idx="32">
                  <c:v>3509.679932</c:v>
                </c:pt>
                <c:pt idx="33">
                  <c:v>3534.7700199999999</c:v>
                </c:pt>
                <c:pt idx="34">
                  <c:v>3645.3701169999999</c:v>
                </c:pt>
                <c:pt idx="35">
                  <c:v>3626.6298830000001</c:v>
                </c:pt>
                <c:pt idx="36">
                  <c:v>3586.1298830000001</c:v>
                </c:pt>
                <c:pt idx="37">
                  <c:v>3609.0900879999999</c:v>
                </c:pt>
                <c:pt idx="38">
                  <c:v>3594.6899410000001</c:v>
                </c:pt>
                <c:pt idx="39">
                  <c:v>3670.75</c:v>
                </c:pt>
                <c:pt idx="40">
                  <c:v>3525.780029</c:v>
                </c:pt>
                <c:pt idx="41">
                  <c:v>3618.419922</c:v>
                </c:pt>
                <c:pt idx="42">
                  <c:v>3546.5900879999999</c:v>
                </c:pt>
                <c:pt idx="43">
                  <c:v>3571.459961</c:v>
                </c:pt>
                <c:pt idx="44">
                  <c:v>3557.830078</c:v>
                </c:pt>
                <c:pt idx="45">
                  <c:v>3513.73999</c:v>
                </c:pt>
                <c:pt idx="46">
                  <c:v>3544.4799800000001</c:v>
                </c:pt>
                <c:pt idx="47">
                  <c:v>3506.48999</c:v>
                </c:pt>
                <c:pt idx="48">
                  <c:v>3553.639893</c:v>
                </c:pt>
                <c:pt idx="49">
                  <c:v>3458.4799800000001</c:v>
                </c:pt>
                <c:pt idx="50">
                  <c:v>3515.169922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23-49CE-AA9C-F73E3BC4F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749008"/>
        <c:axId val="633749664"/>
      </c:lineChart>
      <c:catAx>
        <c:axId val="63374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749664"/>
        <c:crosses val="autoZero"/>
        <c:auto val="1"/>
        <c:lblAlgn val="ctr"/>
        <c:lblOffset val="100"/>
        <c:noMultiLvlLbl val="0"/>
      </c:catAx>
      <c:valAx>
        <c:axId val="6337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/>
                  <a:t>Thickness</a:t>
                </a:r>
                <a:endParaRPr lang="zh-CN" alt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3374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Layer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4434917292315205"/>
          <c:y val="0.1530864333721951"/>
          <c:w val="0.85565082707684792"/>
          <c:h val="0.59043518600233169"/>
        </c:manualLayout>
      </c:layout>
      <c:lineChart>
        <c:grouping val="standard"/>
        <c:varyColors val="0"/>
        <c:ser>
          <c:idx val="0"/>
          <c:order val="0"/>
          <c:tx>
            <c:strRef>
              <c:f>Chart!$H$6</c:f>
              <c:strCache>
                <c:ptCount val="1"/>
                <c:pt idx="0">
                  <c:v>QC Tool51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Chart!$F$7:$G$57</c:f>
              <c:multiLvlStrCache>
                <c:ptCount val="5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16</c:v>
                  </c:pt>
                  <c:pt idx="33">
                    <c:v>17</c:v>
                  </c:pt>
                  <c:pt idx="34">
                    <c:v>1</c:v>
                  </c:pt>
                  <c:pt idx="35">
                    <c:v>2</c:v>
                  </c:pt>
                  <c:pt idx="36">
                    <c:v>3</c:v>
                  </c:pt>
                  <c:pt idx="37">
                    <c:v>4</c:v>
                  </c:pt>
                  <c:pt idx="38">
                    <c:v>5</c:v>
                  </c:pt>
                  <c:pt idx="39">
                    <c:v>6</c:v>
                  </c:pt>
                  <c:pt idx="40">
                    <c:v>7</c:v>
                  </c:pt>
                  <c:pt idx="41">
                    <c:v>8</c:v>
                  </c:pt>
                  <c:pt idx="42">
                    <c:v>9</c:v>
                  </c:pt>
                  <c:pt idx="43">
                    <c:v>10</c:v>
                  </c:pt>
                  <c:pt idx="44">
                    <c:v>11</c:v>
                  </c:pt>
                  <c:pt idx="45">
                    <c:v>12</c:v>
                  </c:pt>
                  <c:pt idx="46">
                    <c:v>13</c:v>
                  </c:pt>
                  <c:pt idx="47">
                    <c:v>14</c:v>
                  </c:pt>
                  <c:pt idx="48">
                    <c:v>15</c:v>
                  </c:pt>
                  <c:pt idx="49">
                    <c:v>16</c:v>
                  </c:pt>
                  <c:pt idx="50">
                    <c:v>17</c:v>
                  </c:pt>
                </c:lvl>
                <c:lvl>
                  <c:pt idx="0">
                    <c:v>1#</c:v>
                  </c:pt>
                  <c:pt idx="17">
                    <c:v>14#</c:v>
                  </c:pt>
                  <c:pt idx="34">
                    <c:v>24#</c:v>
                  </c:pt>
                </c:lvl>
              </c:multiLvlStrCache>
            </c:multiLvlStrRef>
          </c:cat>
          <c:val>
            <c:numRef>
              <c:f>Chart!$H$7:$H$57</c:f>
              <c:numCache>
                <c:formatCode>General</c:formatCode>
                <c:ptCount val="51"/>
                <c:pt idx="0">
                  <c:v>0.989375</c:v>
                </c:pt>
                <c:pt idx="1">
                  <c:v>0.98927500000000002</c:v>
                </c:pt>
                <c:pt idx="2">
                  <c:v>0.98962899999999998</c:v>
                </c:pt>
                <c:pt idx="3">
                  <c:v>0.98988299999999996</c:v>
                </c:pt>
                <c:pt idx="4">
                  <c:v>0.98965400000000003</c:v>
                </c:pt>
                <c:pt idx="5">
                  <c:v>0.98980900000000005</c:v>
                </c:pt>
                <c:pt idx="6">
                  <c:v>0.99023099999999997</c:v>
                </c:pt>
                <c:pt idx="7">
                  <c:v>0.99004599999999998</c:v>
                </c:pt>
                <c:pt idx="8">
                  <c:v>0.98791300000000004</c:v>
                </c:pt>
                <c:pt idx="9">
                  <c:v>0.989371</c:v>
                </c:pt>
                <c:pt idx="10">
                  <c:v>0.98929800000000001</c:v>
                </c:pt>
                <c:pt idx="11">
                  <c:v>0.98977599999999999</c:v>
                </c:pt>
                <c:pt idx="12">
                  <c:v>0.98894599999999999</c:v>
                </c:pt>
                <c:pt idx="13">
                  <c:v>0.98877800000000005</c:v>
                </c:pt>
                <c:pt idx="14">
                  <c:v>0.98925799999999997</c:v>
                </c:pt>
                <c:pt idx="15">
                  <c:v>0.98972099999999996</c:v>
                </c:pt>
                <c:pt idx="16">
                  <c:v>0.98954699999999995</c:v>
                </c:pt>
                <c:pt idx="17">
                  <c:v>0.98901300000000003</c:v>
                </c:pt>
                <c:pt idx="18">
                  <c:v>0.99039699999999997</c:v>
                </c:pt>
                <c:pt idx="19">
                  <c:v>0.990429</c:v>
                </c:pt>
                <c:pt idx="20">
                  <c:v>0.99013399999999996</c:v>
                </c:pt>
                <c:pt idx="21">
                  <c:v>0.99038700000000002</c:v>
                </c:pt>
                <c:pt idx="22">
                  <c:v>0.98986600000000002</c:v>
                </c:pt>
                <c:pt idx="23">
                  <c:v>0.98922500000000002</c:v>
                </c:pt>
                <c:pt idx="24">
                  <c:v>0.98944699999999997</c:v>
                </c:pt>
                <c:pt idx="25">
                  <c:v>0.990259</c:v>
                </c:pt>
                <c:pt idx="26">
                  <c:v>0.99012699999999998</c:v>
                </c:pt>
                <c:pt idx="27">
                  <c:v>0.98960300000000001</c:v>
                </c:pt>
                <c:pt idx="28">
                  <c:v>0.98787000000000003</c:v>
                </c:pt>
                <c:pt idx="29">
                  <c:v>0.98936599999999997</c:v>
                </c:pt>
                <c:pt idx="30">
                  <c:v>0.99026899999999995</c:v>
                </c:pt>
                <c:pt idx="31">
                  <c:v>0.98984899999999998</c:v>
                </c:pt>
                <c:pt idx="32">
                  <c:v>0.98841999999999997</c:v>
                </c:pt>
                <c:pt idx="33">
                  <c:v>0.98808499999999999</c:v>
                </c:pt>
                <c:pt idx="34">
                  <c:v>0.98956200000000005</c:v>
                </c:pt>
                <c:pt idx="35">
                  <c:v>0.99003399999999997</c:v>
                </c:pt>
                <c:pt idx="36">
                  <c:v>0.99010299999999996</c:v>
                </c:pt>
                <c:pt idx="37">
                  <c:v>0.98993200000000003</c:v>
                </c:pt>
                <c:pt idx="38">
                  <c:v>0.99016499999999996</c:v>
                </c:pt>
                <c:pt idx="39">
                  <c:v>0.98990900000000004</c:v>
                </c:pt>
                <c:pt idx="40">
                  <c:v>0.990039</c:v>
                </c:pt>
                <c:pt idx="41">
                  <c:v>0.990263</c:v>
                </c:pt>
                <c:pt idx="42">
                  <c:v>0.98857399999999995</c:v>
                </c:pt>
                <c:pt idx="43">
                  <c:v>0.98987400000000003</c:v>
                </c:pt>
                <c:pt idx="44">
                  <c:v>0.98972599999999999</c:v>
                </c:pt>
                <c:pt idx="45">
                  <c:v>0.98973299999999997</c:v>
                </c:pt>
                <c:pt idx="46">
                  <c:v>0.98959799999999998</c:v>
                </c:pt>
                <c:pt idx="47">
                  <c:v>0.98915200000000003</c:v>
                </c:pt>
                <c:pt idx="48">
                  <c:v>0.98975900000000006</c:v>
                </c:pt>
                <c:pt idx="49">
                  <c:v>0.98962499999999998</c:v>
                </c:pt>
                <c:pt idx="50">
                  <c:v>0.98968400000000001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A-48EC-AAE1-529DA8C85A83}"/>
            </c:ext>
          </c:extLst>
        </c:ser>
        <c:ser>
          <c:idx val="1"/>
          <c:order val="1"/>
          <c:tx>
            <c:strRef>
              <c:f>Chart!$I$6</c:f>
              <c:strCache>
                <c:ptCount val="1"/>
                <c:pt idx="0">
                  <c:v>QC Tool02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Chart!$F$7:$G$57</c:f>
              <c:multiLvlStrCache>
                <c:ptCount val="51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</c:v>
                  </c:pt>
                  <c:pt idx="18">
                    <c:v>2</c:v>
                  </c:pt>
                  <c:pt idx="19">
                    <c:v>3</c:v>
                  </c:pt>
                  <c:pt idx="20">
                    <c:v>4</c:v>
                  </c:pt>
                  <c:pt idx="21">
                    <c:v>5</c:v>
                  </c:pt>
                  <c:pt idx="22">
                    <c:v>6</c:v>
                  </c:pt>
                  <c:pt idx="23">
                    <c:v>7</c:v>
                  </c:pt>
                  <c:pt idx="24">
                    <c:v>8</c:v>
                  </c:pt>
                  <c:pt idx="25">
                    <c:v>9</c:v>
                  </c:pt>
                  <c:pt idx="26">
                    <c:v>10</c:v>
                  </c:pt>
                  <c:pt idx="27">
                    <c:v>11</c:v>
                  </c:pt>
                  <c:pt idx="28">
                    <c:v>12</c:v>
                  </c:pt>
                  <c:pt idx="29">
                    <c:v>13</c:v>
                  </c:pt>
                  <c:pt idx="30">
                    <c:v>14</c:v>
                  </c:pt>
                  <c:pt idx="31">
                    <c:v>15</c:v>
                  </c:pt>
                  <c:pt idx="32">
                    <c:v>16</c:v>
                  </c:pt>
                  <c:pt idx="33">
                    <c:v>17</c:v>
                  </c:pt>
                  <c:pt idx="34">
                    <c:v>1</c:v>
                  </c:pt>
                  <c:pt idx="35">
                    <c:v>2</c:v>
                  </c:pt>
                  <c:pt idx="36">
                    <c:v>3</c:v>
                  </c:pt>
                  <c:pt idx="37">
                    <c:v>4</c:v>
                  </c:pt>
                  <c:pt idx="38">
                    <c:v>5</c:v>
                  </c:pt>
                  <c:pt idx="39">
                    <c:v>6</c:v>
                  </c:pt>
                  <c:pt idx="40">
                    <c:v>7</c:v>
                  </c:pt>
                  <c:pt idx="41">
                    <c:v>8</c:v>
                  </c:pt>
                  <c:pt idx="42">
                    <c:v>9</c:v>
                  </c:pt>
                  <c:pt idx="43">
                    <c:v>10</c:v>
                  </c:pt>
                  <c:pt idx="44">
                    <c:v>11</c:v>
                  </c:pt>
                  <c:pt idx="45">
                    <c:v>12</c:v>
                  </c:pt>
                  <c:pt idx="46">
                    <c:v>13</c:v>
                  </c:pt>
                  <c:pt idx="47">
                    <c:v>14</c:v>
                  </c:pt>
                  <c:pt idx="48">
                    <c:v>15</c:v>
                  </c:pt>
                  <c:pt idx="49">
                    <c:v>16</c:v>
                  </c:pt>
                  <c:pt idx="50">
                    <c:v>17</c:v>
                  </c:pt>
                </c:lvl>
                <c:lvl>
                  <c:pt idx="0">
                    <c:v>1#</c:v>
                  </c:pt>
                  <c:pt idx="17">
                    <c:v>14#</c:v>
                  </c:pt>
                  <c:pt idx="34">
                    <c:v>24#</c:v>
                  </c:pt>
                </c:lvl>
              </c:multiLvlStrCache>
            </c:multiLvlStrRef>
          </c:cat>
          <c:val>
            <c:numRef>
              <c:f>Chart!$I$7:$I$57</c:f>
              <c:numCache>
                <c:formatCode>General</c:formatCode>
                <c:ptCount val="51"/>
                <c:pt idx="0">
                  <c:v>0.99041000000000001</c:v>
                </c:pt>
                <c:pt idx="1">
                  <c:v>0.99047099999999999</c:v>
                </c:pt>
                <c:pt idx="2">
                  <c:v>0.99047200000000002</c:v>
                </c:pt>
                <c:pt idx="3">
                  <c:v>0.99062600000000001</c:v>
                </c:pt>
                <c:pt idx="4">
                  <c:v>0.99059600000000003</c:v>
                </c:pt>
                <c:pt idx="5">
                  <c:v>0.99059299999999995</c:v>
                </c:pt>
                <c:pt idx="6">
                  <c:v>0.99108099999999999</c:v>
                </c:pt>
                <c:pt idx="7">
                  <c:v>0.99082400000000004</c:v>
                </c:pt>
                <c:pt idx="8">
                  <c:v>0.99070400000000003</c:v>
                </c:pt>
                <c:pt idx="9">
                  <c:v>0.99007900000000004</c:v>
                </c:pt>
                <c:pt idx="10">
                  <c:v>0.99033300000000002</c:v>
                </c:pt>
                <c:pt idx="11">
                  <c:v>0.99072800000000005</c:v>
                </c:pt>
                <c:pt idx="12">
                  <c:v>0.99077000000000004</c:v>
                </c:pt>
                <c:pt idx="13">
                  <c:v>0.99048700000000001</c:v>
                </c:pt>
                <c:pt idx="14">
                  <c:v>0.99004999999999999</c:v>
                </c:pt>
                <c:pt idx="15">
                  <c:v>0.99077499999999996</c:v>
                </c:pt>
                <c:pt idx="16">
                  <c:v>0.99070400000000003</c:v>
                </c:pt>
                <c:pt idx="17">
                  <c:v>0.99029800000000001</c:v>
                </c:pt>
                <c:pt idx="18">
                  <c:v>0.99087099999999995</c:v>
                </c:pt>
                <c:pt idx="19">
                  <c:v>0.99100699999999997</c:v>
                </c:pt>
                <c:pt idx="20">
                  <c:v>0.99091600000000002</c:v>
                </c:pt>
                <c:pt idx="21">
                  <c:v>0.99118200000000001</c:v>
                </c:pt>
                <c:pt idx="22">
                  <c:v>0.99100299999999997</c:v>
                </c:pt>
                <c:pt idx="23">
                  <c:v>0.99131800000000003</c:v>
                </c:pt>
                <c:pt idx="24">
                  <c:v>0.99117299999999997</c:v>
                </c:pt>
                <c:pt idx="25">
                  <c:v>0.99069399999999996</c:v>
                </c:pt>
                <c:pt idx="26">
                  <c:v>0.99059399999999997</c:v>
                </c:pt>
                <c:pt idx="27">
                  <c:v>0.990506</c:v>
                </c:pt>
                <c:pt idx="28">
                  <c:v>0.99098399999999998</c:v>
                </c:pt>
                <c:pt idx="29">
                  <c:v>0.99086700000000005</c:v>
                </c:pt>
                <c:pt idx="30">
                  <c:v>0.99041100000000004</c:v>
                </c:pt>
                <c:pt idx="31">
                  <c:v>0.99062300000000003</c:v>
                </c:pt>
                <c:pt idx="32">
                  <c:v>0.99085199999999996</c:v>
                </c:pt>
                <c:pt idx="33">
                  <c:v>0.99076900000000001</c:v>
                </c:pt>
                <c:pt idx="34">
                  <c:v>0.99042399999999997</c:v>
                </c:pt>
                <c:pt idx="35">
                  <c:v>0.99064399999999997</c:v>
                </c:pt>
                <c:pt idx="36">
                  <c:v>0.99080699999999999</c:v>
                </c:pt>
                <c:pt idx="37">
                  <c:v>0.99092599999999997</c:v>
                </c:pt>
                <c:pt idx="38">
                  <c:v>0.99086799999999997</c:v>
                </c:pt>
                <c:pt idx="39">
                  <c:v>0.99079700000000004</c:v>
                </c:pt>
                <c:pt idx="40">
                  <c:v>0.99111899999999997</c:v>
                </c:pt>
                <c:pt idx="41">
                  <c:v>0.990873</c:v>
                </c:pt>
                <c:pt idx="42">
                  <c:v>0.99056599999999995</c:v>
                </c:pt>
                <c:pt idx="43">
                  <c:v>0.99067499999999997</c:v>
                </c:pt>
                <c:pt idx="44">
                  <c:v>0.99068500000000004</c:v>
                </c:pt>
                <c:pt idx="45">
                  <c:v>0.99077899999999997</c:v>
                </c:pt>
                <c:pt idx="46">
                  <c:v>0.99072199999999999</c:v>
                </c:pt>
                <c:pt idx="47">
                  <c:v>0.99034999999999995</c:v>
                </c:pt>
                <c:pt idx="48">
                  <c:v>0.99062399999999995</c:v>
                </c:pt>
                <c:pt idx="49">
                  <c:v>0.99080199999999996</c:v>
                </c:pt>
                <c:pt idx="50">
                  <c:v>0.99072499999999997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1A-48EC-AAE1-529DA8C85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855568"/>
        <c:axId val="747849992"/>
      </c:lineChart>
      <c:catAx>
        <c:axId val="74785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7849992"/>
        <c:crosses val="autoZero"/>
        <c:auto val="1"/>
        <c:lblAlgn val="ctr"/>
        <c:lblOffset val="100"/>
        <c:noMultiLvlLbl val="0"/>
      </c:catAx>
      <c:valAx>
        <c:axId val="747849992"/>
        <c:scaling>
          <c:orientation val="minMax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/>
                  <a:t>GOF</a:t>
                </a:r>
                <a:endParaRPr lang="zh-CN" alt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0_);[Red]\(#,##0.0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7855568"/>
        <c:crosses val="autoZero"/>
        <c:crossBetween val="between"/>
        <c:majorUnit val="8.0000000000000019E-3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15689</xdr:colOff>
      <xdr:row>4</xdr:row>
      <xdr:rowOff>6723</xdr:rowOff>
    </xdr:from>
    <xdr:to>
      <xdr:col>18</xdr:col>
      <xdr:colOff>672353</xdr:colOff>
      <xdr:row>23</xdr:row>
      <xdr:rowOff>134470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25214</xdr:colOff>
      <xdr:row>25</xdr:row>
      <xdr:rowOff>22411</xdr:rowOff>
    </xdr:from>
    <xdr:to>
      <xdr:col>19</xdr:col>
      <xdr:colOff>11206</xdr:colOff>
      <xdr:row>44</xdr:row>
      <xdr:rowOff>11207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762000</xdr:colOff>
      <xdr:row>10</xdr:row>
      <xdr:rowOff>27215</xdr:rowOff>
    </xdr:from>
    <xdr:to>
      <xdr:col>22</xdr:col>
      <xdr:colOff>1251857</xdr:colOff>
      <xdr:row>14</xdr:row>
      <xdr:rowOff>149680</xdr:rowOff>
    </xdr:to>
    <xdr:sp macro="[0]!Drawchart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620750" y="1823358"/>
          <a:ext cx="1265464" cy="830036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bg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800">
              <a:solidFill>
                <a:schemeClr val="bg1">
                  <a:lumMod val="85000"/>
                </a:schemeClr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Update</a:t>
          </a:r>
        </a:p>
        <a:p>
          <a:pPr algn="ctr"/>
          <a:r>
            <a:rPr lang="en-US" altLang="zh-CN" sz="1800">
              <a:solidFill>
                <a:schemeClr val="bg1">
                  <a:lumMod val="85000"/>
                </a:schemeClr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Chart</a:t>
          </a:r>
          <a:endParaRPr lang="zh-CN" altLang="en-US" sz="18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57978</xdr:colOff>
      <xdr:row>2</xdr:row>
      <xdr:rowOff>8284</xdr:rowOff>
    </xdr:from>
    <xdr:to>
      <xdr:col>8</xdr:col>
      <xdr:colOff>1126435</xdr:colOff>
      <xdr:row>5</xdr:row>
      <xdr:rowOff>107675</xdr:rowOff>
    </xdr:to>
    <xdr:sp macro="[0]!Summary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30478" y="389284"/>
          <a:ext cx="1068457" cy="670891"/>
        </a:xfrm>
        <a:prstGeom prst="ellipse">
          <a:avLst/>
        </a:prstGeom>
        <a:solidFill>
          <a:srgbClr val="92D050"/>
        </a:solidFill>
        <a:ln>
          <a:solidFill>
            <a:schemeClr val="bg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85000"/>
                  <a:lumOff val="15000"/>
                </a:schemeClr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初步查询</a:t>
          </a:r>
          <a:r>
            <a:rPr lang="en-US" altLang="zh-CN" sz="110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endParaRPr lang="zh-CN" altLang="en-US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8</xdr:col>
      <xdr:colOff>66261</xdr:colOff>
      <xdr:row>8</xdr:row>
      <xdr:rowOff>8283</xdr:rowOff>
    </xdr:from>
    <xdr:to>
      <xdr:col>8</xdr:col>
      <xdr:colOff>1143000</xdr:colOff>
      <xdr:row>11</xdr:row>
      <xdr:rowOff>149331</xdr:rowOff>
    </xdr:to>
    <xdr:sp macro="[0]!Summary1" textlink="">
      <xdr:nvSpPr>
        <xdr:cNvPr id="4" name="椭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38761" y="1532283"/>
          <a:ext cx="1076739" cy="712548"/>
        </a:xfrm>
        <a:prstGeom prst="ellipse">
          <a:avLst/>
        </a:prstGeom>
        <a:solidFill>
          <a:srgbClr val="92D050"/>
        </a:solidFill>
        <a:ln>
          <a:solidFill>
            <a:schemeClr val="bg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aseline="0">
              <a:solidFill>
                <a:schemeClr val="tx1">
                  <a:lumMod val="85000"/>
                  <a:lumOff val="15000"/>
                </a:schemeClr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精准查询</a:t>
          </a:r>
          <a:r>
            <a:rPr lang="en-US" altLang="zh-CN" sz="110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endParaRPr lang="zh-CN" altLang="en-US" sz="105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27214</xdr:rowOff>
    </xdr:from>
    <xdr:to>
      <xdr:col>22</xdr:col>
      <xdr:colOff>602031</xdr:colOff>
      <xdr:row>68</xdr:row>
      <xdr:rowOff>123488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42214"/>
          <a:ext cx="14073102" cy="733527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r1" connectionId="7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B86"/>
  <sheetViews>
    <sheetView tabSelected="1" topLeftCell="A63" zoomScaleNormal="100" workbookViewId="0">
      <selection activeCell="H73" sqref="H73"/>
    </sheetView>
  </sheetViews>
  <sheetFormatPr baseColWidth="10" defaultColWidth="9.19921875" defaultRowHeight="15"/>
  <cols>
    <col min="1" max="2" width="9.19921875" style="2"/>
    <col min="3" max="6" width="9.19921875" style="3"/>
    <col min="7" max="21" width="9.19921875" style="2"/>
    <col min="22" max="22" width="11.59765625" style="5" customWidth="1"/>
    <col min="23" max="23" width="19" style="5" customWidth="1"/>
    <col min="24" max="24" width="17.19921875" style="5" customWidth="1"/>
    <col min="25" max="27" width="9.19921875" style="2"/>
    <col min="28" max="28" width="0" style="2" hidden="1" customWidth="1"/>
    <col min="29" max="16384" width="9.19921875" style="2"/>
  </cols>
  <sheetData>
    <row r="1" spans="1:28" ht="14.25" customHeight="1">
      <c r="A1" s="40" t="s">
        <v>65</v>
      </c>
      <c r="B1" s="40"/>
      <c r="D1" s="43" t="str">
        <f>Query!D5</f>
        <v>0.CQC30</v>
      </c>
      <c r="V1" s="4"/>
      <c r="W1" s="4"/>
    </row>
    <row r="2" spans="1:28" ht="14.25" customHeight="1">
      <c r="A2" s="40"/>
      <c r="B2" s="40"/>
      <c r="C2" s="2"/>
      <c r="D2" s="43"/>
      <c r="H2" s="6"/>
      <c r="I2" s="6"/>
      <c r="V2" s="4"/>
      <c r="W2" s="4"/>
      <c r="AB2" s="2" t="s">
        <v>0</v>
      </c>
    </row>
    <row r="3" spans="1:28" ht="14.25" customHeight="1">
      <c r="A3" s="30"/>
      <c r="B3" s="30"/>
      <c r="C3" s="2"/>
      <c r="H3" s="6"/>
      <c r="I3" s="6"/>
      <c r="V3" s="4"/>
      <c r="W3" s="4"/>
    </row>
    <row r="4" spans="1:28">
      <c r="G4" s="7"/>
      <c r="I4" s="8"/>
      <c r="V4" s="4"/>
      <c r="W4" s="4"/>
      <c r="AB4" s="2" t="s">
        <v>5</v>
      </c>
    </row>
    <row r="5" spans="1:28" ht="16">
      <c r="C5" s="9" t="s">
        <v>6</v>
      </c>
      <c r="D5" s="2"/>
      <c r="E5" s="2"/>
      <c r="F5" s="2"/>
      <c r="H5" s="9" t="s">
        <v>7</v>
      </c>
      <c r="V5" s="4"/>
      <c r="W5" s="4"/>
    </row>
    <row r="6" spans="1:28">
      <c r="C6" s="10" t="s">
        <v>66</v>
      </c>
      <c r="D6" s="10" t="s">
        <v>67</v>
      </c>
      <c r="E6" s="10" t="s">
        <v>8</v>
      </c>
      <c r="H6" s="10" t="str">
        <f>C6</f>
        <v>QC Tool51</v>
      </c>
      <c r="I6" s="10" t="str">
        <f>D6</f>
        <v>QC Tool02</v>
      </c>
      <c r="U6" s="4"/>
      <c r="V6" s="4"/>
      <c r="W6" s="4"/>
      <c r="X6" s="4"/>
    </row>
    <row r="7" spans="1:28">
      <c r="A7" s="42" t="s">
        <v>44</v>
      </c>
      <c r="B7" s="11">
        <v>1</v>
      </c>
      <c r="C7" s="5">
        <v>3748.0600589999999</v>
      </c>
      <c r="D7" s="12">
        <v>3750.9499510000001</v>
      </c>
      <c r="E7" s="13">
        <f>D7-C7</f>
        <v>2.8898920000001453</v>
      </c>
      <c r="F7" s="42" t="s">
        <v>44</v>
      </c>
      <c r="G7" s="11">
        <v>1</v>
      </c>
      <c r="H7" s="5">
        <v>0.989375</v>
      </c>
      <c r="I7" s="14">
        <v>0.99041000000000001</v>
      </c>
    </row>
    <row r="8" spans="1:28">
      <c r="A8" s="42"/>
      <c r="B8" s="11">
        <v>2</v>
      </c>
      <c r="C8" s="5">
        <v>3708.5600589999999</v>
      </c>
      <c r="D8" s="12">
        <v>3709.6499020000001</v>
      </c>
      <c r="E8" s="13">
        <f t="shared" ref="E8:E57" si="0">D8-C8</f>
        <v>1.0898430000002008</v>
      </c>
      <c r="F8" s="42"/>
      <c r="G8" s="11">
        <v>2</v>
      </c>
      <c r="H8" s="5">
        <v>0.98927500000000002</v>
      </c>
      <c r="I8" s="14">
        <v>0.99047099999999999</v>
      </c>
    </row>
    <row r="9" spans="1:28">
      <c r="A9" s="42"/>
      <c r="B9" s="11">
        <v>3</v>
      </c>
      <c r="C9" s="5">
        <v>3710.3400879999999</v>
      </c>
      <c r="D9" s="12">
        <v>3712.0900879999999</v>
      </c>
      <c r="E9" s="13">
        <f t="shared" si="0"/>
        <v>1.75</v>
      </c>
      <c r="F9" s="42"/>
      <c r="G9" s="11">
        <v>3</v>
      </c>
      <c r="H9" s="5">
        <v>0.98962899999999998</v>
      </c>
      <c r="I9" s="14">
        <v>0.99047200000000002</v>
      </c>
      <c r="K9" s="2" t="s">
        <v>9</v>
      </c>
    </row>
    <row r="10" spans="1:28">
      <c r="A10" s="42"/>
      <c r="B10" s="11">
        <v>4</v>
      </c>
      <c r="C10" s="5">
        <v>3745.7700199999999</v>
      </c>
      <c r="D10" s="12">
        <v>3747.969971</v>
      </c>
      <c r="E10" s="13">
        <f t="shared" si="0"/>
        <v>2.1999510000000555</v>
      </c>
      <c r="F10" s="42"/>
      <c r="G10" s="11">
        <v>4</v>
      </c>
      <c r="H10" s="5">
        <v>0.98988299999999996</v>
      </c>
      <c r="I10" s="14">
        <v>0.99062600000000001</v>
      </c>
    </row>
    <row r="11" spans="1:28">
      <c r="A11" s="42"/>
      <c r="B11" s="11">
        <v>5</v>
      </c>
      <c r="C11" s="5">
        <v>3707.98999</v>
      </c>
      <c r="D11" s="12">
        <v>3709.290039</v>
      </c>
      <c r="E11" s="13">
        <f t="shared" si="0"/>
        <v>1.3000489999999445</v>
      </c>
      <c r="F11" s="42"/>
      <c r="G11" s="11">
        <v>5</v>
      </c>
      <c r="H11" s="5">
        <v>0.98965400000000003</v>
      </c>
      <c r="I11" s="14">
        <v>0.99059600000000003</v>
      </c>
      <c r="W11" s="39"/>
    </row>
    <row r="12" spans="1:28">
      <c r="A12" s="42"/>
      <c r="B12" s="11">
        <v>6</v>
      </c>
      <c r="C12" s="5">
        <v>3781.8100589999999</v>
      </c>
      <c r="D12" s="12">
        <v>3785.6999510000001</v>
      </c>
      <c r="E12" s="13">
        <f t="shared" si="0"/>
        <v>3.8898920000001453</v>
      </c>
      <c r="F12" s="42"/>
      <c r="G12" s="11">
        <v>6</v>
      </c>
      <c r="H12" s="5">
        <v>0.98980900000000005</v>
      </c>
      <c r="I12" s="14">
        <v>0.99059299999999995</v>
      </c>
      <c r="W12" s="39"/>
    </row>
    <row r="13" spans="1:28">
      <c r="A13" s="42"/>
      <c r="B13" s="11">
        <v>7</v>
      </c>
      <c r="C13" s="5">
        <v>3640.1298830000001</v>
      </c>
      <c r="D13" s="12">
        <v>3645.280029</v>
      </c>
      <c r="E13" s="13">
        <f t="shared" si="0"/>
        <v>5.1501459999999497</v>
      </c>
      <c r="F13" s="42"/>
      <c r="G13" s="11">
        <v>7</v>
      </c>
      <c r="H13" s="5">
        <v>0.99023099999999997</v>
      </c>
      <c r="I13" s="14">
        <v>0.99108099999999999</v>
      </c>
      <c r="W13" s="39"/>
    </row>
    <row r="14" spans="1:28">
      <c r="A14" s="42"/>
      <c r="B14" s="11">
        <v>8</v>
      </c>
      <c r="C14" s="5">
        <v>3678.169922</v>
      </c>
      <c r="D14" s="12">
        <v>3683.1499020000001</v>
      </c>
      <c r="E14" s="13">
        <f t="shared" si="0"/>
        <v>4.9799800000000687</v>
      </c>
      <c r="F14" s="42"/>
      <c r="G14" s="11">
        <v>8</v>
      </c>
      <c r="H14" s="5">
        <v>0.99004599999999998</v>
      </c>
      <c r="I14" s="14">
        <v>0.99082400000000004</v>
      </c>
      <c r="W14" s="39"/>
    </row>
    <row r="15" spans="1:28">
      <c r="A15" s="42"/>
      <c r="B15" s="11">
        <v>9</v>
      </c>
      <c r="C15" s="5">
        <v>3671.75</v>
      </c>
      <c r="D15" s="12">
        <v>3667.4799800000001</v>
      </c>
      <c r="E15" s="13">
        <f t="shared" si="0"/>
        <v>-4.2700199999999313</v>
      </c>
      <c r="F15" s="42"/>
      <c r="G15" s="11">
        <v>9</v>
      </c>
      <c r="H15" s="5">
        <v>0.98791300000000004</v>
      </c>
      <c r="I15" s="14">
        <v>0.99070400000000003</v>
      </c>
      <c r="W15" s="39"/>
    </row>
    <row r="16" spans="1:28">
      <c r="A16" s="42"/>
      <c r="B16" s="11">
        <v>10</v>
      </c>
      <c r="C16" s="5">
        <v>3768.830078</v>
      </c>
      <c r="D16" s="12">
        <v>3770.389893</v>
      </c>
      <c r="E16" s="13">
        <f t="shared" si="0"/>
        <v>1.5598150000000714</v>
      </c>
      <c r="F16" s="42"/>
      <c r="G16" s="11">
        <v>10</v>
      </c>
      <c r="H16" s="5">
        <v>0.989371</v>
      </c>
      <c r="I16" s="14">
        <v>0.99007900000000004</v>
      </c>
    </row>
    <row r="17" spans="1:25">
      <c r="A17" s="42"/>
      <c r="B17" s="11">
        <v>11</v>
      </c>
      <c r="C17" s="5">
        <v>3745.3100589999999</v>
      </c>
      <c r="D17" s="12">
        <v>3746.73999</v>
      </c>
      <c r="E17" s="13">
        <f t="shared" si="0"/>
        <v>1.4299310000001242</v>
      </c>
      <c r="F17" s="42"/>
      <c r="G17" s="11">
        <v>11</v>
      </c>
      <c r="H17" s="5">
        <v>0.98929800000000001</v>
      </c>
      <c r="I17" s="14">
        <v>0.99033300000000002</v>
      </c>
    </row>
    <row r="18" spans="1:25">
      <c r="A18" s="42"/>
      <c r="B18" s="11">
        <v>12</v>
      </c>
      <c r="C18" s="5">
        <v>3635.98999</v>
      </c>
      <c r="D18" s="12">
        <v>3645.5600589999999</v>
      </c>
      <c r="E18" s="13">
        <f t="shared" si="0"/>
        <v>9.5700689999998758</v>
      </c>
      <c r="F18" s="42"/>
      <c r="G18" s="11">
        <v>12</v>
      </c>
      <c r="H18" s="5">
        <v>0.98977599999999999</v>
      </c>
      <c r="I18" s="14">
        <v>0.99072800000000005</v>
      </c>
    </row>
    <row r="19" spans="1:25">
      <c r="A19" s="42"/>
      <c r="B19" s="11">
        <v>13</v>
      </c>
      <c r="C19" s="5">
        <v>3641.929932</v>
      </c>
      <c r="D19" s="12">
        <v>3642.389893</v>
      </c>
      <c r="E19" s="13">
        <f t="shared" si="0"/>
        <v>0.45996100000002116</v>
      </c>
      <c r="F19" s="42"/>
      <c r="G19" s="11">
        <v>13</v>
      </c>
      <c r="H19" s="5">
        <v>0.98894599999999999</v>
      </c>
      <c r="I19" s="14">
        <v>0.99077000000000004</v>
      </c>
      <c r="U19" s="5"/>
    </row>
    <row r="20" spans="1:25">
      <c r="A20" s="42"/>
      <c r="B20" s="11">
        <v>14</v>
      </c>
      <c r="C20" s="5">
        <v>3621.5600589999999</v>
      </c>
      <c r="D20" s="12">
        <v>3621.6499020000001</v>
      </c>
      <c r="E20" s="13">
        <f t="shared" si="0"/>
        <v>8.9843000000200846E-2</v>
      </c>
      <c r="F20" s="42"/>
      <c r="G20" s="11">
        <v>14</v>
      </c>
      <c r="H20" s="5">
        <v>0.98877800000000005</v>
      </c>
      <c r="I20" s="14">
        <v>0.99048700000000001</v>
      </c>
      <c r="U20" s="5"/>
    </row>
    <row r="21" spans="1:25">
      <c r="A21" s="42"/>
      <c r="B21" s="11">
        <v>15</v>
      </c>
      <c r="C21" s="5">
        <v>3780.459961</v>
      </c>
      <c r="D21" s="12">
        <v>3782.389893</v>
      </c>
      <c r="E21" s="13">
        <f t="shared" si="0"/>
        <v>1.929932000000008</v>
      </c>
      <c r="F21" s="42"/>
      <c r="G21" s="11">
        <v>15</v>
      </c>
      <c r="H21" s="5">
        <v>0.98925799999999997</v>
      </c>
      <c r="I21" s="14">
        <v>0.99004999999999999</v>
      </c>
      <c r="U21" s="5"/>
    </row>
    <row r="22" spans="1:25" ht="16">
      <c r="A22" s="42"/>
      <c r="B22" s="11">
        <v>16</v>
      </c>
      <c r="C22" s="5">
        <v>3578.8798830000001</v>
      </c>
      <c r="D22" s="12">
        <v>3584.7700199999999</v>
      </c>
      <c r="E22" s="13">
        <f t="shared" si="0"/>
        <v>5.8901369999998678</v>
      </c>
      <c r="F22" s="42"/>
      <c r="G22" s="11">
        <v>16</v>
      </c>
      <c r="H22" s="5">
        <v>0.98972099999999996</v>
      </c>
      <c r="I22" s="14">
        <v>0.99077499999999996</v>
      </c>
      <c r="U22" s="5"/>
      <c r="V22" s="15" t="s">
        <v>10</v>
      </c>
      <c r="W22" s="15" t="str">
        <f>C6</f>
        <v>QC Tool51</v>
      </c>
      <c r="X22" s="15" t="str">
        <f>D6</f>
        <v>QC Tool02</v>
      </c>
      <c r="Y22" s="15" t="s">
        <v>11</v>
      </c>
    </row>
    <row r="23" spans="1:25" ht="16">
      <c r="A23" s="42"/>
      <c r="B23" s="11">
        <v>17</v>
      </c>
      <c r="C23" s="5">
        <v>3599.530029</v>
      </c>
      <c r="D23" s="12">
        <v>3606.070068</v>
      </c>
      <c r="E23" s="13">
        <f t="shared" si="0"/>
        <v>6.5400389999999788</v>
      </c>
      <c r="F23" s="42"/>
      <c r="G23" s="11">
        <v>17</v>
      </c>
      <c r="H23" s="5">
        <v>0.98954699999999995</v>
      </c>
      <c r="I23" s="14">
        <v>0.99070400000000003</v>
      </c>
      <c r="U23" s="5"/>
      <c r="V23" s="16" t="str">
        <f>A7</f>
        <v>1#</v>
      </c>
      <c r="W23" s="15">
        <f>AVERAGE(C7:C23)</f>
        <v>3692.0629453529418</v>
      </c>
      <c r="X23" s="15">
        <f>AVERAGE(D7:D23)</f>
        <v>3694.7952665294115</v>
      </c>
      <c r="Y23" s="17">
        <f>W23-X23</f>
        <v>-2.732321176469668</v>
      </c>
    </row>
    <row r="24" spans="1:25" ht="16">
      <c r="A24" s="42" t="s">
        <v>45</v>
      </c>
      <c r="B24" s="11">
        <v>1</v>
      </c>
      <c r="C24" s="5">
        <v>3734.679932</v>
      </c>
      <c r="D24" s="12">
        <v>3733.1298830000001</v>
      </c>
      <c r="E24" s="13">
        <f t="shared" si="0"/>
        <v>-1.5500489999999445</v>
      </c>
      <c r="F24" s="42" t="s">
        <v>45</v>
      </c>
      <c r="G24" s="11">
        <v>1</v>
      </c>
      <c r="H24" s="5">
        <v>0.98901300000000003</v>
      </c>
      <c r="I24" s="14">
        <v>0.99029800000000001</v>
      </c>
      <c r="V24" s="15" t="str">
        <f>A24</f>
        <v>14#</v>
      </c>
      <c r="W24" s="15">
        <f>AVERAGE(C24:C40)</f>
        <v>3602.4964672352939</v>
      </c>
      <c r="X24" s="15">
        <f>AVERAGE(D24:D40)</f>
        <v>3601.6176184117649</v>
      </c>
      <c r="Y24" s="17">
        <f>W24-X24</f>
        <v>0.87884882352909699</v>
      </c>
    </row>
    <row r="25" spans="1:25" ht="16">
      <c r="A25" s="42"/>
      <c r="B25" s="11">
        <v>2</v>
      </c>
      <c r="C25" s="5">
        <v>3653.8100589999999</v>
      </c>
      <c r="D25" s="12">
        <v>3655.969971</v>
      </c>
      <c r="E25" s="13">
        <f t="shared" si="0"/>
        <v>2.1599120000000767</v>
      </c>
      <c r="F25" s="42"/>
      <c r="G25" s="11">
        <v>2</v>
      </c>
      <c r="H25" s="5">
        <v>0.99039699999999997</v>
      </c>
      <c r="I25" s="14">
        <v>0.99087099999999995</v>
      </c>
      <c r="V25" s="15" t="str">
        <f>A41</f>
        <v>24#</v>
      </c>
      <c r="W25" s="15">
        <f>AVERAGE(C41:C57)</f>
        <v>3566.1558765882351</v>
      </c>
      <c r="X25" s="15">
        <f>AVERAGE(D41:D57)</f>
        <v>3567.3376320588245</v>
      </c>
      <c r="Y25" s="17">
        <f>W25-X25</f>
        <v>-1.1817554705894509</v>
      </c>
    </row>
    <row r="26" spans="1:25" ht="16">
      <c r="A26" s="42"/>
      <c r="B26" s="11">
        <v>3</v>
      </c>
      <c r="C26" s="5">
        <v>3591.9099120000001</v>
      </c>
      <c r="D26" s="12">
        <v>3593.6899410000001</v>
      </c>
      <c r="E26" s="13">
        <f t="shared" si="0"/>
        <v>1.7800290000000132</v>
      </c>
      <c r="F26" s="42"/>
      <c r="G26" s="11">
        <v>3</v>
      </c>
      <c r="H26" s="5">
        <v>0.990429</v>
      </c>
      <c r="I26" s="14">
        <v>0.99100699999999997</v>
      </c>
      <c r="V26" s="18" t="s">
        <v>12</v>
      </c>
      <c r="W26" s="19">
        <f>AVERAGE(W23:W25)</f>
        <v>3620.2384297254903</v>
      </c>
      <c r="X26" s="19">
        <f>AVERAGE(X23:X25)</f>
        <v>3621.2501723333335</v>
      </c>
      <c r="Y26" s="19">
        <f>AVERAGE(Y23:Y25)</f>
        <v>-1.0117426078433407</v>
      </c>
    </row>
    <row r="27" spans="1:25">
      <c r="A27" s="42"/>
      <c r="B27" s="11">
        <v>4</v>
      </c>
      <c r="C27" s="5">
        <v>3667.320068</v>
      </c>
      <c r="D27" s="12">
        <v>3668.209961</v>
      </c>
      <c r="E27" s="13">
        <f t="shared" si="0"/>
        <v>0.88989300000002913</v>
      </c>
      <c r="F27" s="42"/>
      <c r="G27" s="11">
        <v>4</v>
      </c>
      <c r="H27" s="5">
        <v>0.99013399999999996</v>
      </c>
      <c r="I27" s="14">
        <v>0.99091600000000002</v>
      </c>
      <c r="V27" s="20"/>
      <c r="W27" s="21"/>
      <c r="X27" s="21"/>
      <c r="Y27" s="22"/>
    </row>
    <row r="28" spans="1:25">
      <c r="A28" s="42"/>
      <c r="B28" s="11">
        <v>5</v>
      </c>
      <c r="C28" s="5">
        <v>3594.929932</v>
      </c>
      <c r="D28" s="12">
        <v>3595.459961</v>
      </c>
      <c r="E28" s="13">
        <f t="shared" si="0"/>
        <v>0.53002900000001318</v>
      </c>
      <c r="F28" s="42"/>
      <c r="G28" s="11">
        <v>5</v>
      </c>
      <c r="H28" s="5">
        <v>0.99038700000000002</v>
      </c>
      <c r="I28" s="14">
        <v>0.99118200000000001</v>
      </c>
      <c r="V28" s="20"/>
      <c r="W28" s="21"/>
      <c r="X28" s="21"/>
      <c r="Y28" s="22"/>
    </row>
    <row r="29" spans="1:25">
      <c r="A29" s="42"/>
      <c r="B29" s="11">
        <v>6</v>
      </c>
      <c r="C29" s="5">
        <v>3674.320068</v>
      </c>
      <c r="D29" s="12">
        <v>3675.3400879999999</v>
      </c>
      <c r="E29" s="13">
        <f t="shared" si="0"/>
        <v>1.0200199999999313</v>
      </c>
      <c r="F29" s="42"/>
      <c r="G29" s="11">
        <v>6</v>
      </c>
      <c r="H29" s="5">
        <v>0.98986600000000002</v>
      </c>
      <c r="I29" s="14">
        <v>0.99100299999999997</v>
      </c>
      <c r="V29" s="22"/>
      <c r="W29" s="22"/>
      <c r="X29" s="22"/>
      <c r="Y29" s="22"/>
    </row>
    <row r="30" spans="1:25">
      <c r="A30" s="42"/>
      <c r="B30" s="11">
        <v>7</v>
      </c>
      <c r="C30" s="5">
        <v>3526.459961</v>
      </c>
      <c r="D30" s="12">
        <v>3521.429932</v>
      </c>
      <c r="E30" s="13">
        <f t="shared" si="0"/>
        <v>-5.0300290000000132</v>
      </c>
      <c r="F30" s="42"/>
      <c r="G30" s="11">
        <v>7</v>
      </c>
      <c r="H30" s="5">
        <v>0.98922500000000002</v>
      </c>
      <c r="I30" s="14">
        <v>0.99131800000000003</v>
      </c>
      <c r="V30" s="23" t="s">
        <v>13</v>
      </c>
      <c r="W30" s="24" t="str">
        <f>C6</f>
        <v>QC Tool51</v>
      </c>
      <c r="X30" s="24" t="str">
        <f>D6</f>
        <v>QC Tool02</v>
      </c>
      <c r="Y30" s="22"/>
    </row>
    <row r="31" spans="1:25">
      <c r="A31" s="42"/>
      <c r="B31" s="11">
        <v>8</v>
      </c>
      <c r="C31" s="5">
        <v>3618.040039</v>
      </c>
      <c r="D31" s="12">
        <v>3612.9399410000001</v>
      </c>
      <c r="E31" s="13">
        <f t="shared" si="0"/>
        <v>-5.100097999999889</v>
      </c>
      <c r="F31" s="42"/>
      <c r="G31" s="11">
        <v>8</v>
      </c>
      <c r="H31" s="5">
        <v>0.98944699999999997</v>
      </c>
      <c r="I31" s="14">
        <v>0.99117299999999997</v>
      </c>
      <c r="V31" s="25" t="str">
        <f>A7</f>
        <v>1#</v>
      </c>
      <c r="W31" s="26">
        <f>MAX(C7:C23)-MIN(C7:C23)</f>
        <v>202.93017599999985</v>
      </c>
      <c r="X31" s="26">
        <f>MAX(D7:D23)-MIN(D7:D23)</f>
        <v>200.92993100000012</v>
      </c>
      <c r="Y31" s="22"/>
    </row>
    <row r="32" spans="1:25">
      <c r="A32" s="42"/>
      <c r="B32" s="11">
        <v>9</v>
      </c>
      <c r="C32" s="5">
        <v>3584.679932</v>
      </c>
      <c r="D32" s="12">
        <v>3588.669922</v>
      </c>
      <c r="E32" s="13">
        <f t="shared" si="0"/>
        <v>3.9899900000000343</v>
      </c>
      <c r="F32" s="42"/>
      <c r="G32" s="11">
        <v>9</v>
      </c>
      <c r="H32" s="5">
        <v>0.990259</v>
      </c>
      <c r="I32" s="14">
        <v>0.99069399999999996</v>
      </c>
      <c r="V32" s="25" t="str">
        <f>A24</f>
        <v>14#</v>
      </c>
      <c r="W32" s="26">
        <f>MAX(C24:C40)-MIN(C24:C40)</f>
        <v>220.30981500000007</v>
      </c>
      <c r="X32" s="26">
        <f>MAX(D24:D40)-MIN(D24:D40)</f>
        <v>226.33984400000008</v>
      </c>
      <c r="Y32" s="22"/>
    </row>
    <row r="33" spans="1:25">
      <c r="A33" s="42"/>
      <c r="B33" s="11">
        <v>10</v>
      </c>
      <c r="C33" s="5">
        <v>3651.1000979999999</v>
      </c>
      <c r="D33" s="12">
        <v>3654.169922</v>
      </c>
      <c r="E33" s="13">
        <f t="shared" si="0"/>
        <v>3.0698240000001533</v>
      </c>
      <c r="F33" s="42"/>
      <c r="G33" s="11">
        <v>10</v>
      </c>
      <c r="H33" s="5">
        <v>0.99012699999999998</v>
      </c>
      <c r="I33" s="14">
        <v>0.99059399999999997</v>
      </c>
      <c r="V33" s="25" t="str">
        <f>A41</f>
        <v>24#</v>
      </c>
      <c r="W33" s="26">
        <f>MAX(C41:C57)-MIN(C41:C57)</f>
        <v>212.5300299999999</v>
      </c>
      <c r="X33" s="26">
        <f>MAX(D41:D57)-MIN(D41:D57)</f>
        <v>212.27001999999993</v>
      </c>
      <c r="Y33" s="22"/>
    </row>
    <row r="34" spans="1:25">
      <c r="A34" s="42"/>
      <c r="B34" s="11">
        <v>11</v>
      </c>
      <c r="C34" s="5">
        <v>3645.469971</v>
      </c>
      <c r="D34" s="12">
        <v>3647.1599120000001</v>
      </c>
      <c r="E34" s="13">
        <f t="shared" si="0"/>
        <v>1.6899410000000898</v>
      </c>
      <c r="F34" s="42"/>
      <c r="G34" s="11">
        <v>11</v>
      </c>
      <c r="H34" s="5">
        <v>0.98960300000000001</v>
      </c>
      <c r="I34" s="14">
        <v>0.990506</v>
      </c>
      <c r="W34" s="4"/>
    </row>
    <row r="35" spans="1:25">
      <c r="A35" s="42"/>
      <c r="B35" s="11">
        <v>12</v>
      </c>
      <c r="C35" s="5">
        <v>3514.3701169999999</v>
      </c>
      <c r="D35" s="12">
        <v>3506.790039</v>
      </c>
      <c r="E35" s="13">
        <f t="shared" si="0"/>
        <v>-7.5800779999999577</v>
      </c>
      <c r="F35" s="42"/>
      <c r="G35" s="11">
        <v>12</v>
      </c>
      <c r="H35" s="5">
        <v>0.98787000000000003</v>
      </c>
      <c r="I35" s="14">
        <v>0.99098399999999998</v>
      </c>
      <c r="W35" s="4"/>
    </row>
    <row r="36" spans="1:25">
      <c r="A36" s="42"/>
      <c r="B36" s="11">
        <v>13</v>
      </c>
      <c r="C36" s="5">
        <v>3574.98999</v>
      </c>
      <c r="D36" s="12">
        <v>3570.6000979999999</v>
      </c>
      <c r="E36" s="13">
        <f t="shared" si="0"/>
        <v>-4.3898920000001453</v>
      </c>
      <c r="F36" s="42"/>
      <c r="G36" s="11">
        <v>13</v>
      </c>
      <c r="H36" s="5">
        <v>0.98936599999999997</v>
      </c>
      <c r="I36" s="14">
        <v>0.99086700000000005</v>
      </c>
      <c r="W36" s="4"/>
    </row>
    <row r="37" spans="1:25">
      <c r="A37" s="42"/>
      <c r="B37" s="11">
        <v>14</v>
      </c>
      <c r="C37" s="5">
        <v>3528.51001</v>
      </c>
      <c r="D37" s="12">
        <v>3533.25</v>
      </c>
      <c r="E37" s="13">
        <f>D37-C37</f>
        <v>4.7399900000000343</v>
      </c>
      <c r="F37" s="42"/>
      <c r="G37" s="11">
        <v>14</v>
      </c>
      <c r="H37" s="5">
        <v>0.99026899999999995</v>
      </c>
      <c r="I37" s="14">
        <v>0.99041100000000004</v>
      </c>
      <c r="W37" s="4"/>
    </row>
    <row r="38" spans="1:25">
      <c r="A38" s="42"/>
      <c r="B38" s="11">
        <v>15</v>
      </c>
      <c r="C38" s="5">
        <v>3624.209961</v>
      </c>
      <c r="D38" s="12">
        <v>3626.23999</v>
      </c>
      <c r="E38" s="13">
        <f t="shared" si="0"/>
        <v>2.0300290000000132</v>
      </c>
      <c r="F38" s="42"/>
      <c r="G38" s="11">
        <v>15</v>
      </c>
      <c r="H38" s="5">
        <v>0.98984899999999998</v>
      </c>
      <c r="I38" s="14">
        <v>0.99062300000000003</v>
      </c>
      <c r="W38" s="4"/>
    </row>
    <row r="39" spans="1:25">
      <c r="A39" s="42"/>
      <c r="B39" s="11">
        <v>16</v>
      </c>
      <c r="C39" s="5">
        <v>3515.419922</v>
      </c>
      <c r="D39" s="12">
        <v>3509.679932</v>
      </c>
      <c r="E39" s="13">
        <f t="shared" si="0"/>
        <v>-5.7399900000000343</v>
      </c>
      <c r="F39" s="42"/>
      <c r="G39" s="11">
        <v>16</v>
      </c>
      <c r="H39" s="5">
        <v>0.98841999999999997</v>
      </c>
      <c r="I39" s="14">
        <v>0.99085199999999996</v>
      </c>
      <c r="W39" s="4"/>
    </row>
    <row r="40" spans="1:25">
      <c r="A40" s="42"/>
      <c r="B40" s="11">
        <v>17</v>
      </c>
      <c r="C40" s="5">
        <v>3542.219971</v>
      </c>
      <c r="D40" s="12">
        <v>3534.7700199999999</v>
      </c>
      <c r="E40" s="13">
        <f t="shared" si="0"/>
        <v>-7.4499510000000555</v>
      </c>
      <c r="F40" s="42"/>
      <c r="G40" s="11">
        <v>17</v>
      </c>
      <c r="H40" s="5">
        <v>0.98808499999999999</v>
      </c>
      <c r="I40" s="14">
        <v>0.99076900000000001</v>
      </c>
      <c r="W40" s="4"/>
    </row>
    <row r="41" spans="1:25">
      <c r="A41" s="42" t="s">
        <v>14</v>
      </c>
      <c r="B41" s="11">
        <v>1</v>
      </c>
      <c r="C41" s="5">
        <v>3644.6499020000001</v>
      </c>
      <c r="D41" s="12">
        <v>3645.3701169999999</v>
      </c>
      <c r="E41" s="13">
        <f t="shared" si="0"/>
        <v>0.72021499999982552</v>
      </c>
      <c r="F41" s="42" t="s">
        <v>14</v>
      </c>
      <c r="G41" s="11">
        <v>1</v>
      </c>
      <c r="H41" s="5">
        <v>0.98956200000000005</v>
      </c>
      <c r="I41" s="14">
        <v>0.99042399999999997</v>
      </c>
      <c r="W41" s="4"/>
    </row>
    <row r="42" spans="1:25">
      <c r="A42" s="42"/>
      <c r="B42" s="11">
        <v>2</v>
      </c>
      <c r="C42" s="5">
        <v>3623.4499510000001</v>
      </c>
      <c r="D42" s="12">
        <v>3626.6298830000001</v>
      </c>
      <c r="E42" s="13">
        <f t="shared" si="0"/>
        <v>3.179932000000008</v>
      </c>
      <c r="F42" s="42"/>
      <c r="G42" s="11">
        <v>2</v>
      </c>
      <c r="H42" s="5">
        <v>0.99003399999999997</v>
      </c>
      <c r="I42" s="14">
        <v>0.99064399999999997</v>
      </c>
      <c r="W42" s="4"/>
    </row>
    <row r="43" spans="1:25">
      <c r="A43" s="42"/>
      <c r="B43" s="11">
        <v>3</v>
      </c>
      <c r="C43" s="5">
        <v>3583.8701169999999</v>
      </c>
      <c r="D43" s="12">
        <v>3586.1298830000001</v>
      </c>
      <c r="E43" s="13">
        <f t="shared" si="0"/>
        <v>2.259766000000127</v>
      </c>
      <c r="F43" s="42"/>
      <c r="G43" s="11">
        <v>3</v>
      </c>
      <c r="H43" s="5">
        <v>0.99010299999999996</v>
      </c>
      <c r="I43" s="14">
        <v>0.99080699999999999</v>
      </c>
      <c r="W43" s="4"/>
    </row>
    <row r="44" spans="1:25">
      <c r="A44" s="42"/>
      <c r="B44" s="11">
        <v>4</v>
      </c>
      <c r="C44" s="5">
        <v>3608.429932</v>
      </c>
      <c r="D44" s="12">
        <v>3609.0900879999999</v>
      </c>
      <c r="E44" s="13">
        <f t="shared" si="0"/>
        <v>0.66015599999991537</v>
      </c>
      <c r="F44" s="42"/>
      <c r="G44" s="11">
        <v>4</v>
      </c>
      <c r="H44" s="5">
        <v>0.98993200000000003</v>
      </c>
      <c r="I44" s="14">
        <v>0.99092599999999997</v>
      </c>
      <c r="W44" s="4"/>
    </row>
    <row r="45" spans="1:25">
      <c r="A45" s="42"/>
      <c r="B45" s="11">
        <v>5</v>
      </c>
      <c r="C45" s="5">
        <v>3591.780029</v>
      </c>
      <c r="D45" s="12">
        <v>3594.6899410000001</v>
      </c>
      <c r="E45" s="13">
        <f t="shared" si="0"/>
        <v>2.9099120000000767</v>
      </c>
      <c r="F45" s="42"/>
      <c r="G45" s="11">
        <v>5</v>
      </c>
      <c r="H45" s="5">
        <v>0.99016499999999996</v>
      </c>
      <c r="I45" s="14">
        <v>0.99086799999999997</v>
      </c>
      <c r="W45" s="4"/>
    </row>
    <row r="46" spans="1:25">
      <c r="A46" s="42"/>
      <c r="B46" s="11">
        <v>6</v>
      </c>
      <c r="C46" s="5">
        <v>3669.969971</v>
      </c>
      <c r="D46" s="12">
        <v>3670.75</v>
      </c>
      <c r="E46" s="13">
        <f t="shared" si="0"/>
        <v>0.78002900000001318</v>
      </c>
      <c r="F46" s="42"/>
      <c r="G46" s="11">
        <v>6</v>
      </c>
      <c r="H46" s="5">
        <v>0.98990900000000004</v>
      </c>
      <c r="I46" s="14">
        <v>0.99079700000000004</v>
      </c>
      <c r="W46" s="4"/>
    </row>
    <row r="47" spans="1:25">
      <c r="A47" s="42"/>
      <c r="B47" s="11">
        <v>7</v>
      </c>
      <c r="C47" s="5">
        <v>3525.780029</v>
      </c>
      <c r="D47" s="12">
        <v>3525.780029</v>
      </c>
      <c r="E47" s="13">
        <f t="shared" si="0"/>
        <v>0</v>
      </c>
      <c r="F47" s="42"/>
      <c r="G47" s="11">
        <v>7</v>
      </c>
      <c r="H47" s="5">
        <v>0.990039</v>
      </c>
      <c r="I47" s="14">
        <v>0.99111899999999997</v>
      </c>
      <c r="N47" s="41" t="s">
        <v>68</v>
      </c>
      <c r="O47" s="41"/>
      <c r="P47" s="41"/>
      <c r="Q47" s="41"/>
      <c r="W47" s="4"/>
    </row>
    <row r="48" spans="1:25">
      <c r="A48" s="42"/>
      <c r="B48" s="11">
        <v>8</v>
      </c>
      <c r="C48" s="5">
        <v>3616.1899410000001</v>
      </c>
      <c r="D48" s="12">
        <v>3618.419922</v>
      </c>
      <c r="E48" s="13">
        <f t="shared" si="0"/>
        <v>2.2299809999999525</v>
      </c>
      <c r="F48" s="42"/>
      <c r="G48" s="11">
        <v>8</v>
      </c>
      <c r="H48" s="5">
        <v>0.990263</v>
      </c>
      <c r="I48" s="14">
        <v>0.990873</v>
      </c>
      <c r="W48" s="4"/>
    </row>
    <row r="49" spans="1:23">
      <c r="A49" s="42"/>
      <c r="B49" s="11">
        <v>9</v>
      </c>
      <c r="C49" s="5">
        <v>3549.0900879999999</v>
      </c>
      <c r="D49" s="12">
        <v>3546.5900879999999</v>
      </c>
      <c r="E49" s="13">
        <f t="shared" si="0"/>
        <v>-2.5</v>
      </c>
      <c r="F49" s="42"/>
      <c r="G49" s="11">
        <v>9</v>
      </c>
      <c r="H49" s="5">
        <v>0.98857399999999995</v>
      </c>
      <c r="I49" s="14">
        <v>0.99056599999999995</v>
      </c>
      <c r="W49" s="4"/>
    </row>
    <row r="50" spans="1:23">
      <c r="A50" s="42"/>
      <c r="B50" s="11">
        <v>10</v>
      </c>
      <c r="C50" s="5">
        <v>3569.169922</v>
      </c>
      <c r="D50" s="12">
        <v>3571.459961</v>
      </c>
      <c r="E50" s="13">
        <f t="shared" si="0"/>
        <v>2.2900389999999788</v>
      </c>
      <c r="F50" s="42"/>
      <c r="G50" s="11">
        <v>10</v>
      </c>
      <c r="H50" s="5">
        <v>0.98987400000000003</v>
      </c>
      <c r="I50" s="14">
        <v>0.99067499999999997</v>
      </c>
      <c r="W50" s="4"/>
    </row>
    <row r="51" spans="1:23">
      <c r="A51" s="42"/>
      <c r="B51" s="11">
        <v>11</v>
      </c>
      <c r="C51" s="5">
        <v>3556.459961</v>
      </c>
      <c r="D51" s="12">
        <v>3557.830078</v>
      </c>
      <c r="E51" s="13">
        <f t="shared" si="0"/>
        <v>1.3701169999999365</v>
      </c>
      <c r="F51" s="42"/>
      <c r="G51" s="11">
        <v>11</v>
      </c>
      <c r="H51" s="5">
        <v>0.98972599999999999</v>
      </c>
      <c r="I51" s="14">
        <v>0.99068500000000004</v>
      </c>
      <c r="W51" s="4"/>
    </row>
    <row r="52" spans="1:23">
      <c r="A52" s="42"/>
      <c r="B52" s="11">
        <v>12</v>
      </c>
      <c r="C52" s="5">
        <v>3511.3400879999999</v>
      </c>
      <c r="D52" s="12">
        <v>3513.73999</v>
      </c>
      <c r="E52" s="13">
        <f t="shared" si="0"/>
        <v>2.399902000000111</v>
      </c>
      <c r="F52" s="42"/>
      <c r="G52" s="11">
        <v>12</v>
      </c>
      <c r="H52" s="5">
        <v>0.98973299999999997</v>
      </c>
      <c r="I52" s="14">
        <v>0.99077899999999997</v>
      </c>
      <c r="W52" s="4"/>
    </row>
    <row r="53" spans="1:23">
      <c r="A53" s="42"/>
      <c r="B53" s="11">
        <v>13</v>
      </c>
      <c r="C53" s="5">
        <v>3544.01001</v>
      </c>
      <c r="D53" s="12">
        <v>3544.4799800000001</v>
      </c>
      <c r="E53" s="13">
        <f t="shared" si="0"/>
        <v>0.46997000000010303</v>
      </c>
      <c r="F53" s="42"/>
      <c r="G53" s="11">
        <v>13</v>
      </c>
      <c r="H53" s="5">
        <v>0.98959799999999998</v>
      </c>
      <c r="I53" s="14">
        <v>0.99072199999999999</v>
      </c>
    </row>
    <row r="54" spans="1:23">
      <c r="A54" s="42"/>
      <c r="B54" s="11">
        <v>14</v>
      </c>
      <c r="C54" s="5">
        <v>3505.8100589999999</v>
      </c>
      <c r="D54" s="12">
        <v>3506.48999</v>
      </c>
      <c r="E54" s="13">
        <f t="shared" si="0"/>
        <v>0.67993100000012419</v>
      </c>
      <c r="F54" s="42"/>
      <c r="G54" s="11">
        <v>14</v>
      </c>
      <c r="H54" s="5">
        <v>0.98915200000000003</v>
      </c>
      <c r="I54" s="14">
        <v>0.99034999999999995</v>
      </c>
    </row>
    <row r="55" spans="1:23">
      <c r="A55" s="42"/>
      <c r="B55" s="11">
        <v>15</v>
      </c>
      <c r="C55" s="5">
        <v>3552.919922</v>
      </c>
      <c r="D55" s="12">
        <v>3553.639893</v>
      </c>
      <c r="E55" s="13">
        <f t="shared" si="0"/>
        <v>0.71997099999998682</v>
      </c>
      <c r="F55" s="42"/>
      <c r="G55" s="11">
        <v>15</v>
      </c>
      <c r="H55" s="5">
        <v>0.98975900000000006</v>
      </c>
      <c r="I55" s="14">
        <v>0.99062399999999995</v>
      </c>
    </row>
    <row r="56" spans="1:23">
      <c r="A56" s="42"/>
      <c r="B56" s="11">
        <v>16</v>
      </c>
      <c r="C56" s="5">
        <v>3457.4399410000001</v>
      </c>
      <c r="D56" s="12">
        <v>3458.4799800000001</v>
      </c>
      <c r="E56" s="13">
        <f t="shared" si="0"/>
        <v>1.0400389999999788</v>
      </c>
      <c r="F56" s="42"/>
      <c r="G56" s="11">
        <v>16</v>
      </c>
      <c r="H56" s="5">
        <v>0.98962499999999998</v>
      </c>
      <c r="I56" s="14">
        <v>0.99080199999999996</v>
      </c>
    </row>
    <row r="57" spans="1:23">
      <c r="A57" s="42"/>
      <c r="B57" s="11">
        <v>17</v>
      </c>
      <c r="C57" s="5">
        <v>3514.290039</v>
      </c>
      <c r="D57" s="12">
        <v>3515.169922</v>
      </c>
      <c r="E57" s="13">
        <f t="shared" si="0"/>
        <v>0.87988300000006348</v>
      </c>
      <c r="F57" s="42"/>
      <c r="G57" s="11">
        <v>17</v>
      </c>
      <c r="H57" s="5">
        <v>0.98968400000000001</v>
      </c>
      <c r="I57" s="14">
        <v>0.99072499999999997</v>
      </c>
    </row>
    <row r="58" spans="1:23">
      <c r="C58" s="2"/>
      <c r="D58" s="2"/>
      <c r="E58" s="2"/>
      <c r="F58" s="2"/>
    </row>
    <row r="59" spans="1:23">
      <c r="C59" s="2"/>
    </row>
    <row r="60" spans="1:23">
      <c r="C60" s="2"/>
    </row>
    <row r="61" spans="1:23">
      <c r="C61" s="2"/>
    </row>
    <row r="62" spans="1:23">
      <c r="C62" s="2"/>
    </row>
    <row r="63" spans="1:23">
      <c r="C63" s="2"/>
    </row>
    <row r="64" spans="1:23">
      <c r="C64" s="2"/>
    </row>
    <row r="65" spans="3:14">
      <c r="C65" s="2"/>
    </row>
    <row r="66" spans="3:14">
      <c r="C66" s="2"/>
    </row>
    <row r="67" spans="3:14">
      <c r="C67" s="2"/>
    </row>
    <row r="68" spans="3:14">
      <c r="C68" s="2"/>
      <c r="N68" s="2" t="s">
        <v>75</v>
      </c>
    </row>
    <row r="69" spans="3:14">
      <c r="C69" s="2"/>
      <c r="N69" s="2" t="s">
        <v>76</v>
      </c>
    </row>
    <row r="70" spans="3:14">
      <c r="C70" s="2"/>
      <c r="J70" s="2" t="s">
        <v>70</v>
      </c>
      <c r="N70" s="2" t="s">
        <v>78</v>
      </c>
    </row>
    <row r="71" spans="3:14">
      <c r="C71" s="2"/>
      <c r="I71" s="2" t="s">
        <v>69</v>
      </c>
      <c r="J71" s="2" t="s">
        <v>71</v>
      </c>
      <c r="M71" s="2" t="s">
        <v>74</v>
      </c>
      <c r="N71" s="2" t="s">
        <v>79</v>
      </c>
    </row>
    <row r="72" spans="3:14">
      <c r="C72" s="2"/>
      <c r="J72" s="2" t="s">
        <v>72</v>
      </c>
      <c r="N72" s="2" t="s">
        <v>80</v>
      </c>
    </row>
    <row r="73" spans="3:14">
      <c r="C73" s="2"/>
      <c r="J73" s="2" t="s">
        <v>73</v>
      </c>
      <c r="N73" s="2" t="s">
        <v>77</v>
      </c>
    </row>
    <row r="74" spans="3:14">
      <c r="C74" s="2"/>
      <c r="N74" s="2" t="s">
        <v>81</v>
      </c>
    </row>
    <row r="75" spans="3:14">
      <c r="C75" s="2"/>
    </row>
    <row r="76" spans="3:14">
      <c r="C76" s="2"/>
    </row>
    <row r="77" spans="3:14">
      <c r="C77" s="2"/>
    </row>
    <row r="78" spans="3:14">
      <c r="C78" s="2"/>
    </row>
    <row r="79" spans="3:14">
      <c r="C79" s="2"/>
    </row>
    <row r="80" spans="3:14">
      <c r="C80" s="2"/>
    </row>
    <row r="81" spans="3:3">
      <c r="C81" s="2"/>
    </row>
    <row r="82" spans="3:3">
      <c r="C82" s="2"/>
    </row>
    <row r="83" spans="3:3">
      <c r="C83" s="2"/>
    </row>
    <row r="84" spans="3:3">
      <c r="C84" s="2"/>
    </row>
    <row r="85" spans="3:3">
      <c r="C85" s="2"/>
    </row>
    <row r="86" spans="3:3">
      <c r="C86" s="2"/>
    </row>
  </sheetData>
  <mergeCells count="10">
    <mergeCell ref="W11:W15"/>
    <mergeCell ref="A1:B2"/>
    <mergeCell ref="N47:Q47"/>
    <mergeCell ref="A7:A23"/>
    <mergeCell ref="F7:F23"/>
    <mergeCell ref="A24:A40"/>
    <mergeCell ref="F24:F40"/>
    <mergeCell ref="A41:A57"/>
    <mergeCell ref="F41:F57"/>
    <mergeCell ref="D1:D2"/>
  </mergeCells>
  <phoneticPr fontId="1" type="noConversion"/>
  <dataValidations count="1">
    <dataValidation type="list" allowBlank="1" showInputMessage="1" showErrorMessage="1" sqref="Y31:Y32" xr:uid="{00000000-0002-0000-0000-000000000000}">
      <formula1>$AB$2:$AB$4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Q27"/>
  <sheetViews>
    <sheetView zoomScale="130" zoomScaleNormal="130" workbookViewId="0">
      <selection activeCell="J23" sqref="J23"/>
    </sheetView>
  </sheetViews>
  <sheetFormatPr baseColWidth="10" defaultColWidth="9" defaultRowHeight="13"/>
  <cols>
    <col min="1" max="1" width="6.796875" customWidth="1"/>
    <col min="2" max="2" width="11.796875" customWidth="1"/>
    <col min="3" max="3" width="16.796875" bestFit="1" customWidth="1"/>
    <col min="4" max="4" width="16" customWidth="1"/>
    <col min="5" max="5" width="14" customWidth="1"/>
    <col min="6" max="6" width="26.3984375" customWidth="1"/>
    <col min="7" max="7" width="16.19921875" customWidth="1"/>
    <col min="8" max="8" width="9.19921875" customWidth="1"/>
    <col min="9" max="9" width="18.3984375" customWidth="1"/>
    <col min="10" max="10" width="28.19921875" bestFit="1" customWidth="1"/>
    <col min="11" max="11" width="15.19921875" bestFit="1" customWidth="1"/>
    <col min="12" max="12" width="21.19921875" customWidth="1"/>
    <col min="13" max="13" width="8.19921875" customWidth="1"/>
    <col min="14" max="14" width="28.19921875" bestFit="1" customWidth="1"/>
    <col min="15" max="15" width="15.796875" bestFit="1" customWidth="1"/>
    <col min="16" max="16" width="28.19921875" bestFit="1" customWidth="1"/>
    <col min="17" max="17" width="18" bestFit="1" customWidth="1"/>
    <col min="18" max="18" width="28.19921875" bestFit="1" customWidth="1"/>
    <col min="19" max="19" width="12.59765625" bestFit="1" customWidth="1"/>
    <col min="20" max="20" width="28.19921875" bestFit="1" customWidth="1"/>
    <col min="21" max="21" width="12.59765625" bestFit="1" customWidth="1"/>
    <col min="22" max="22" width="28.19921875" bestFit="1" customWidth="1"/>
    <col min="23" max="23" width="16.796875" bestFit="1" customWidth="1"/>
    <col min="24" max="24" width="28.19921875" bestFit="1" customWidth="1"/>
    <col min="25" max="25" width="54.19921875" bestFit="1" customWidth="1"/>
    <col min="26" max="26" width="28.19921875" bestFit="1" customWidth="1"/>
  </cols>
  <sheetData>
    <row r="3" spans="1:17">
      <c r="C3" s="31" t="s">
        <v>15</v>
      </c>
      <c r="D3" s="31" t="s">
        <v>16</v>
      </c>
      <c r="E3" s="31" t="s">
        <v>17</v>
      </c>
      <c r="F3" s="31" t="s">
        <v>25</v>
      </c>
      <c r="G3" s="38" t="s">
        <v>51</v>
      </c>
      <c r="H3" s="31" t="s">
        <v>46</v>
      </c>
      <c r="I3" s="44"/>
    </row>
    <row r="4" spans="1:17">
      <c r="C4" s="33" t="s">
        <v>56</v>
      </c>
      <c r="D4" s="33" t="s">
        <v>43</v>
      </c>
      <c r="E4" s="33" t="s">
        <v>54</v>
      </c>
      <c r="F4" s="33" t="s">
        <v>57</v>
      </c>
      <c r="G4" s="36">
        <f>H4</f>
        <v>16</v>
      </c>
      <c r="H4" s="31">
        <f t="array" ref="H4">IFERROR(INDEX($B$16:$I$25,MATCH("*"&amp;F4&amp;"*"&amp;D4, $F$16:$F$25&amp;$D$16:$D$25,0),1), "待查询")</f>
        <v>16</v>
      </c>
      <c r="I4" s="44"/>
    </row>
    <row r="5" spans="1:17">
      <c r="C5" s="32" t="s">
        <v>31</v>
      </c>
      <c r="D5" s="32" t="str">
        <f>MID(F4,7,2)&amp;"."&amp;"CQC"&amp;RIGHT(F4,2)</f>
        <v>0.CQC30</v>
      </c>
      <c r="E5" s="32" t="s">
        <v>32</v>
      </c>
      <c r="F5" s="32" t="s">
        <v>33</v>
      </c>
      <c r="G5" s="32"/>
      <c r="H5" s="31" t="s">
        <v>47</v>
      </c>
      <c r="I5" s="44"/>
    </row>
    <row r="6" spans="1:17">
      <c r="C6" s="33" t="s">
        <v>56</v>
      </c>
      <c r="D6" s="33" t="s">
        <v>42</v>
      </c>
      <c r="E6" s="33" t="s">
        <v>55</v>
      </c>
      <c r="F6" s="33" t="s">
        <v>57</v>
      </c>
      <c r="G6" s="36">
        <f>H6</f>
        <v>17</v>
      </c>
      <c r="H6" s="31">
        <f t="array" ref="H6">IFERROR(INDEX($B$16:$I$25,MATCH("*"&amp;F6&amp;"*"&amp;D6, $F$16:$F$25&amp;$D$16:$D$25,0),1), "待查询")</f>
        <v>17</v>
      </c>
      <c r="I6" s="44"/>
    </row>
    <row r="8" spans="1:17" ht="58.5" customHeight="1">
      <c r="B8" s="45" t="s">
        <v>41</v>
      </c>
      <c r="C8" s="45"/>
      <c r="D8" s="45"/>
      <c r="E8" s="45"/>
      <c r="F8" s="45"/>
      <c r="G8" s="45"/>
      <c r="H8" s="45"/>
    </row>
    <row r="9" spans="1:17">
      <c r="I9" s="44"/>
      <c r="O9" s="1"/>
      <c r="Q9" s="1"/>
    </row>
    <row r="10" spans="1:17">
      <c r="I10" s="44"/>
      <c r="O10" s="1"/>
      <c r="Q10" s="1"/>
    </row>
    <row r="11" spans="1:17">
      <c r="E11" s="32" t="s">
        <v>30</v>
      </c>
      <c r="I11" s="44"/>
      <c r="O11" s="1"/>
      <c r="Q11" s="1"/>
    </row>
    <row r="12" spans="1:17">
      <c r="I12" s="44"/>
      <c r="O12" s="1"/>
      <c r="Q12" s="1"/>
    </row>
    <row r="13" spans="1:17">
      <c r="B13" s="32" t="s">
        <v>27</v>
      </c>
      <c r="C13" s="44" t="s">
        <v>36</v>
      </c>
      <c r="D13" s="44"/>
      <c r="E13" s="44"/>
      <c r="F13" s="44"/>
      <c r="O13" s="1"/>
      <c r="Q13" s="1"/>
    </row>
    <row r="14" spans="1:17" ht="14.25" customHeight="1">
      <c r="A14" s="35">
        <v>17</v>
      </c>
      <c r="B14" s="37" t="s">
        <v>50</v>
      </c>
      <c r="C14" s="32"/>
      <c r="D14" s="32"/>
      <c r="E14" s="32"/>
      <c r="F14" s="32"/>
      <c r="O14" s="1"/>
      <c r="Q14" s="1"/>
    </row>
    <row r="15" spans="1:17">
      <c r="B15" s="31" t="s">
        <v>26</v>
      </c>
      <c r="C15" s="31" t="s">
        <v>24</v>
      </c>
      <c r="D15" s="31" t="s">
        <v>28</v>
      </c>
      <c r="E15" s="31" t="s">
        <v>23</v>
      </c>
      <c r="F15" s="31" t="s">
        <v>22</v>
      </c>
      <c r="G15" s="31" t="s">
        <v>29</v>
      </c>
      <c r="H15" s="31" t="s">
        <v>38</v>
      </c>
      <c r="O15" s="1"/>
      <c r="Q15" s="1"/>
    </row>
    <row r="16" spans="1:17">
      <c r="B16" s="31">
        <v>16</v>
      </c>
      <c r="C16" s="31" t="s">
        <v>56</v>
      </c>
      <c r="D16" s="31" t="s">
        <v>48</v>
      </c>
      <c r="E16" s="31" t="s">
        <v>54</v>
      </c>
      <c r="F16" s="31" t="s">
        <v>58</v>
      </c>
      <c r="G16" s="34">
        <v>45276.509780092594</v>
      </c>
      <c r="H16" s="31">
        <v>0</v>
      </c>
      <c r="O16" s="1"/>
      <c r="Q16" s="1"/>
    </row>
    <row r="17" spans="2:17">
      <c r="B17" s="31">
        <v>28</v>
      </c>
      <c r="C17" s="31" t="s">
        <v>56</v>
      </c>
      <c r="D17" s="31" t="s">
        <v>48</v>
      </c>
      <c r="E17" s="31" t="s">
        <v>54</v>
      </c>
      <c r="F17" s="31" t="s">
        <v>59</v>
      </c>
      <c r="G17" s="34">
        <v>45275.448321759257</v>
      </c>
      <c r="H17" s="31">
        <v>0</v>
      </c>
      <c r="O17" s="1"/>
      <c r="Q17" s="1"/>
    </row>
    <row r="18" spans="2:17">
      <c r="B18" s="31">
        <v>211</v>
      </c>
      <c r="C18" s="31" t="s">
        <v>56</v>
      </c>
      <c r="D18" s="31" t="s">
        <v>48</v>
      </c>
      <c r="E18" s="31" t="s">
        <v>54</v>
      </c>
      <c r="F18" s="31" t="s">
        <v>52</v>
      </c>
      <c r="G18" s="34">
        <v>45246.856446759259</v>
      </c>
      <c r="H18" s="31">
        <v>0</v>
      </c>
      <c r="O18" s="1"/>
      <c r="Q18" s="1"/>
    </row>
    <row r="19" spans="2:17">
      <c r="B19" s="31">
        <v>17</v>
      </c>
      <c r="C19" s="31" t="s">
        <v>56</v>
      </c>
      <c r="D19" s="31" t="s">
        <v>49</v>
      </c>
      <c r="E19" s="31" t="s">
        <v>55</v>
      </c>
      <c r="F19" s="31" t="s">
        <v>60</v>
      </c>
      <c r="G19" s="34">
        <v>45276.499189814815</v>
      </c>
      <c r="H19" s="31">
        <v>0</v>
      </c>
      <c r="O19" s="1"/>
      <c r="Q19" s="1"/>
    </row>
    <row r="20" spans="2:17">
      <c r="B20" s="31">
        <v>29</v>
      </c>
      <c r="C20" s="31" t="s">
        <v>56</v>
      </c>
      <c r="D20" s="31" t="s">
        <v>49</v>
      </c>
      <c r="E20" s="31" t="s">
        <v>55</v>
      </c>
      <c r="F20" s="31" t="s">
        <v>61</v>
      </c>
      <c r="G20" s="34">
        <v>45275.407175925924</v>
      </c>
      <c r="H20" s="31">
        <v>0</v>
      </c>
      <c r="O20" s="1"/>
      <c r="Q20" s="1"/>
    </row>
    <row r="21" spans="2:17">
      <c r="B21" s="31">
        <v>212</v>
      </c>
      <c r="C21" s="31" t="s">
        <v>56</v>
      </c>
      <c r="D21" s="31" t="s">
        <v>49</v>
      </c>
      <c r="E21" s="31" t="s">
        <v>55</v>
      </c>
      <c r="F21" s="31" t="s">
        <v>53</v>
      </c>
      <c r="G21" s="34">
        <v>45246.326053240744</v>
      </c>
      <c r="H21" s="31">
        <v>0</v>
      </c>
      <c r="O21" s="1"/>
      <c r="Q21" s="1"/>
    </row>
    <row r="22" spans="2:17">
      <c r="B22" s="31"/>
      <c r="C22" s="31"/>
      <c r="D22" s="31"/>
      <c r="E22" s="31"/>
      <c r="F22" s="31"/>
      <c r="G22" s="34"/>
      <c r="H22" s="31"/>
      <c r="O22" s="1"/>
      <c r="Q22" s="1"/>
    </row>
    <row r="23" spans="2:17">
      <c r="B23" s="31"/>
      <c r="C23" s="31"/>
      <c r="D23" s="31"/>
      <c r="E23" s="31"/>
      <c r="F23" s="31"/>
      <c r="G23" s="34"/>
      <c r="H23" s="31"/>
      <c r="O23" s="1"/>
      <c r="Q23" s="1"/>
    </row>
    <row r="24" spans="2:17">
      <c r="B24" s="31"/>
      <c r="C24" s="31"/>
      <c r="D24" s="31"/>
      <c r="E24" s="31"/>
      <c r="F24" s="31"/>
      <c r="G24" s="34"/>
      <c r="H24" s="31"/>
      <c r="O24" s="1"/>
      <c r="Q24" s="1"/>
    </row>
    <row r="25" spans="2:17">
      <c r="B25" s="31"/>
      <c r="C25" s="31"/>
      <c r="D25" s="31"/>
      <c r="E25" s="31"/>
      <c r="F25" s="31"/>
      <c r="G25" s="34"/>
      <c r="H25" s="31"/>
      <c r="O25" s="1"/>
      <c r="Q25" s="1"/>
    </row>
    <row r="26" spans="2:17">
      <c r="O26" s="1"/>
      <c r="Q26" s="1"/>
    </row>
    <row r="27" spans="2:17">
      <c r="O27" s="1"/>
      <c r="Q27" s="1"/>
    </row>
  </sheetData>
  <mergeCells count="4">
    <mergeCell ref="C13:F13"/>
    <mergeCell ref="I9:I12"/>
    <mergeCell ref="I3:I6"/>
    <mergeCell ref="B8:H8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Caution" error="LOT ID 无需输入&quot;.&quot;" promptTitle="Caution" xr:uid="{00000000-0002-0000-0100-000000000000}">
          <x14:formula1>
            <xm:f>COUNT(FIND(introduction!A40,C4))=0</xm:f>
          </x14:formula1>
          <xm:sqref>C4</xm:sqref>
        </x14:dataValidation>
        <x14:dataValidation type="custom" allowBlank="1" showInputMessage="1" showErrorMessage="1" xr:uid="{00000000-0002-0000-0100-000001000000}">
          <x14:formula1>
            <xm:f>COUNT(FIND(introduction!A40,C6))=0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91"/>
  <sheetViews>
    <sheetView zoomScale="115" zoomScaleNormal="115" workbookViewId="0">
      <selection activeCell="B8" sqref="B8"/>
    </sheetView>
  </sheetViews>
  <sheetFormatPr baseColWidth="10" defaultColWidth="9.19921875" defaultRowHeight="15"/>
  <cols>
    <col min="1" max="1" width="15.59765625" style="2" customWidth="1"/>
    <col min="2" max="2" width="11.796875" style="2" customWidth="1"/>
    <col min="3" max="16384" width="9.19921875" style="2"/>
  </cols>
  <sheetData>
    <row r="1" spans="1:7">
      <c r="A1" s="46" t="s">
        <v>20</v>
      </c>
      <c r="B1" s="46"/>
      <c r="C1" s="47"/>
      <c r="D1" s="46"/>
      <c r="E1" s="46"/>
    </row>
    <row r="2" spans="1:7">
      <c r="A2" s="27" t="s">
        <v>1</v>
      </c>
      <c r="B2" s="28" t="s">
        <v>4</v>
      </c>
      <c r="D2" s="29" t="s">
        <v>1</v>
      </c>
      <c r="E2" s="27" t="s">
        <v>4</v>
      </c>
    </row>
    <row r="3" spans="1:7">
      <c r="A3" s="27" t="s">
        <v>18</v>
      </c>
      <c r="B3" s="28"/>
      <c r="D3" s="29" t="s">
        <v>19</v>
      </c>
      <c r="E3" s="27"/>
    </row>
    <row r="5" spans="1:7">
      <c r="A5" s="48" t="s">
        <v>21</v>
      </c>
      <c r="B5" s="49"/>
      <c r="C5" s="49"/>
      <c r="D5" s="49"/>
      <c r="E5" s="49"/>
      <c r="F5" s="49"/>
    </row>
    <row r="6" spans="1:7">
      <c r="A6" t="s">
        <v>1</v>
      </c>
      <c r="B6" t="s">
        <v>2</v>
      </c>
      <c r="C6" t="s">
        <v>3</v>
      </c>
      <c r="D6" t="s">
        <v>4</v>
      </c>
      <c r="F6" t="s">
        <v>1</v>
      </c>
      <c r="G6" t="s">
        <v>4</v>
      </c>
    </row>
    <row r="7" spans="1:7">
      <c r="A7" t="s">
        <v>35</v>
      </c>
      <c r="B7" t="s">
        <v>62</v>
      </c>
      <c r="C7">
        <v>1</v>
      </c>
      <c r="D7">
        <v>3750.9499510000001</v>
      </c>
      <c r="F7" t="s">
        <v>34</v>
      </c>
      <c r="G7">
        <v>0.99041000000000001</v>
      </c>
    </row>
    <row r="8" spans="1:7">
      <c r="A8" t="s">
        <v>35</v>
      </c>
      <c r="B8" t="s">
        <v>62</v>
      </c>
      <c r="C8">
        <v>2</v>
      </c>
      <c r="D8">
        <v>3709.6499020000001</v>
      </c>
      <c r="F8" t="s">
        <v>34</v>
      </c>
      <c r="G8">
        <v>0.99047099999999999</v>
      </c>
    </row>
    <row r="9" spans="1:7">
      <c r="A9" t="s">
        <v>35</v>
      </c>
      <c r="B9" t="s">
        <v>62</v>
      </c>
      <c r="C9">
        <v>3</v>
      </c>
      <c r="D9">
        <v>3712.0900879999999</v>
      </c>
      <c r="F9" t="s">
        <v>34</v>
      </c>
      <c r="G9">
        <v>0.99047200000000002</v>
      </c>
    </row>
    <row r="10" spans="1:7">
      <c r="A10" t="s">
        <v>35</v>
      </c>
      <c r="B10" t="s">
        <v>62</v>
      </c>
      <c r="C10">
        <v>4</v>
      </c>
      <c r="D10">
        <v>3747.969971</v>
      </c>
      <c r="F10" t="s">
        <v>34</v>
      </c>
      <c r="G10">
        <v>0.99062600000000001</v>
      </c>
    </row>
    <row r="11" spans="1:7">
      <c r="A11" t="s">
        <v>35</v>
      </c>
      <c r="B11" t="s">
        <v>62</v>
      </c>
      <c r="C11">
        <v>5</v>
      </c>
      <c r="D11">
        <v>3709.290039</v>
      </c>
      <c r="F11" t="s">
        <v>34</v>
      </c>
      <c r="G11">
        <v>0.99059600000000003</v>
      </c>
    </row>
    <row r="12" spans="1:7">
      <c r="A12" t="s">
        <v>35</v>
      </c>
      <c r="B12" t="s">
        <v>62</v>
      </c>
      <c r="C12">
        <v>6</v>
      </c>
      <c r="D12">
        <v>3785.6999510000001</v>
      </c>
      <c r="F12" t="s">
        <v>34</v>
      </c>
      <c r="G12">
        <v>0.99059299999999995</v>
      </c>
    </row>
    <row r="13" spans="1:7">
      <c r="A13" t="s">
        <v>35</v>
      </c>
      <c r="B13" t="s">
        <v>62</v>
      </c>
      <c r="C13">
        <v>7</v>
      </c>
      <c r="D13">
        <v>3645.280029</v>
      </c>
      <c r="F13" t="s">
        <v>34</v>
      </c>
      <c r="G13">
        <v>0.99108099999999999</v>
      </c>
    </row>
    <row r="14" spans="1:7">
      <c r="A14" t="s">
        <v>35</v>
      </c>
      <c r="B14" t="s">
        <v>62</v>
      </c>
      <c r="C14">
        <v>8</v>
      </c>
      <c r="D14">
        <v>3683.1499020000001</v>
      </c>
      <c r="F14" t="s">
        <v>34</v>
      </c>
      <c r="G14">
        <v>0.99082400000000004</v>
      </c>
    </row>
    <row r="15" spans="1:7">
      <c r="A15" t="s">
        <v>35</v>
      </c>
      <c r="B15" t="s">
        <v>62</v>
      </c>
      <c r="C15">
        <v>9</v>
      </c>
      <c r="D15">
        <v>3667.4799800000001</v>
      </c>
      <c r="F15" t="s">
        <v>34</v>
      </c>
      <c r="G15">
        <v>0.99070400000000003</v>
      </c>
    </row>
    <row r="16" spans="1:7">
      <c r="A16" t="s">
        <v>35</v>
      </c>
      <c r="B16" t="s">
        <v>62</v>
      </c>
      <c r="C16">
        <v>10</v>
      </c>
      <c r="D16">
        <v>3770.389893</v>
      </c>
      <c r="F16" t="s">
        <v>34</v>
      </c>
      <c r="G16">
        <v>0.99007900000000004</v>
      </c>
    </row>
    <row r="17" spans="1:7">
      <c r="A17" t="s">
        <v>35</v>
      </c>
      <c r="B17" t="s">
        <v>62</v>
      </c>
      <c r="C17">
        <v>11</v>
      </c>
      <c r="D17">
        <v>3746.73999</v>
      </c>
      <c r="F17" t="s">
        <v>34</v>
      </c>
      <c r="G17">
        <v>0.99033300000000002</v>
      </c>
    </row>
    <row r="18" spans="1:7">
      <c r="A18" t="s">
        <v>35</v>
      </c>
      <c r="B18" t="s">
        <v>62</v>
      </c>
      <c r="C18">
        <v>12</v>
      </c>
      <c r="D18">
        <v>3645.5600589999999</v>
      </c>
      <c r="F18" t="s">
        <v>34</v>
      </c>
      <c r="G18">
        <v>0.99072800000000005</v>
      </c>
    </row>
    <row r="19" spans="1:7">
      <c r="A19" t="s">
        <v>35</v>
      </c>
      <c r="B19" t="s">
        <v>62</v>
      </c>
      <c r="C19">
        <v>13</v>
      </c>
      <c r="D19">
        <v>3642.389893</v>
      </c>
      <c r="F19" t="s">
        <v>34</v>
      </c>
      <c r="G19">
        <v>0.99077000000000004</v>
      </c>
    </row>
    <row r="20" spans="1:7">
      <c r="A20" t="s">
        <v>35</v>
      </c>
      <c r="B20" t="s">
        <v>62</v>
      </c>
      <c r="C20">
        <v>14</v>
      </c>
      <c r="D20">
        <v>3621.6499020000001</v>
      </c>
      <c r="F20" t="s">
        <v>34</v>
      </c>
      <c r="G20">
        <v>0.99048700000000001</v>
      </c>
    </row>
    <row r="21" spans="1:7">
      <c r="A21" t="s">
        <v>35</v>
      </c>
      <c r="B21" t="s">
        <v>62</v>
      </c>
      <c r="C21">
        <v>15</v>
      </c>
      <c r="D21">
        <v>3782.389893</v>
      </c>
      <c r="F21" t="s">
        <v>34</v>
      </c>
      <c r="G21">
        <v>0.99004999999999999</v>
      </c>
    </row>
    <row r="22" spans="1:7">
      <c r="A22" t="s">
        <v>35</v>
      </c>
      <c r="B22" t="s">
        <v>62</v>
      </c>
      <c r="C22">
        <v>16</v>
      </c>
      <c r="D22">
        <v>3584.7700199999999</v>
      </c>
      <c r="F22" t="s">
        <v>34</v>
      </c>
      <c r="G22">
        <v>0.99077499999999996</v>
      </c>
    </row>
    <row r="23" spans="1:7">
      <c r="A23" t="s">
        <v>35</v>
      </c>
      <c r="B23" t="s">
        <v>62</v>
      </c>
      <c r="C23">
        <v>17</v>
      </c>
      <c r="D23">
        <v>3606.070068</v>
      </c>
      <c r="F23" t="s">
        <v>34</v>
      </c>
      <c r="G23">
        <v>0.99070400000000003</v>
      </c>
    </row>
    <row r="24" spans="1:7">
      <c r="A24" t="s">
        <v>35</v>
      </c>
      <c r="B24" t="s">
        <v>63</v>
      </c>
      <c r="C24">
        <v>1</v>
      </c>
      <c r="D24">
        <v>3733.1298830000001</v>
      </c>
      <c r="F24" t="s">
        <v>34</v>
      </c>
      <c r="G24">
        <v>0.99029800000000001</v>
      </c>
    </row>
    <row r="25" spans="1:7">
      <c r="A25" t="s">
        <v>35</v>
      </c>
      <c r="B25" t="s">
        <v>63</v>
      </c>
      <c r="C25">
        <v>2</v>
      </c>
      <c r="D25">
        <v>3655.969971</v>
      </c>
      <c r="F25" t="s">
        <v>34</v>
      </c>
      <c r="G25">
        <v>0.99087099999999995</v>
      </c>
    </row>
    <row r="26" spans="1:7">
      <c r="A26" t="s">
        <v>35</v>
      </c>
      <c r="B26" t="s">
        <v>63</v>
      </c>
      <c r="C26">
        <v>3</v>
      </c>
      <c r="D26">
        <v>3593.6899410000001</v>
      </c>
      <c r="F26" t="s">
        <v>34</v>
      </c>
      <c r="G26">
        <v>0.99100699999999997</v>
      </c>
    </row>
    <row r="27" spans="1:7">
      <c r="A27" t="s">
        <v>35</v>
      </c>
      <c r="B27" t="s">
        <v>63</v>
      </c>
      <c r="C27">
        <v>4</v>
      </c>
      <c r="D27">
        <v>3668.209961</v>
      </c>
      <c r="F27" t="s">
        <v>34</v>
      </c>
      <c r="G27">
        <v>0.99091600000000002</v>
      </c>
    </row>
    <row r="28" spans="1:7">
      <c r="A28" t="s">
        <v>35</v>
      </c>
      <c r="B28" t="s">
        <v>63</v>
      </c>
      <c r="C28">
        <v>5</v>
      </c>
      <c r="D28">
        <v>3595.459961</v>
      </c>
      <c r="F28" t="s">
        <v>34</v>
      </c>
      <c r="G28">
        <v>0.99118200000000001</v>
      </c>
    </row>
    <row r="29" spans="1:7">
      <c r="A29" t="s">
        <v>35</v>
      </c>
      <c r="B29" t="s">
        <v>63</v>
      </c>
      <c r="C29">
        <v>6</v>
      </c>
      <c r="D29">
        <v>3675.3400879999999</v>
      </c>
      <c r="F29" t="s">
        <v>34</v>
      </c>
      <c r="G29">
        <v>0.99100299999999997</v>
      </c>
    </row>
    <row r="30" spans="1:7">
      <c r="A30" t="s">
        <v>35</v>
      </c>
      <c r="B30" t="s">
        <v>63</v>
      </c>
      <c r="C30">
        <v>7</v>
      </c>
      <c r="D30">
        <v>3521.429932</v>
      </c>
      <c r="F30" t="s">
        <v>34</v>
      </c>
      <c r="G30">
        <v>0.99131800000000003</v>
      </c>
    </row>
    <row r="31" spans="1:7">
      <c r="A31" t="s">
        <v>35</v>
      </c>
      <c r="B31" t="s">
        <v>63</v>
      </c>
      <c r="C31">
        <v>8</v>
      </c>
      <c r="D31">
        <v>3612.9399410000001</v>
      </c>
      <c r="F31" t="s">
        <v>34</v>
      </c>
      <c r="G31">
        <v>0.99117299999999997</v>
      </c>
    </row>
    <row r="32" spans="1:7">
      <c r="A32" t="s">
        <v>35</v>
      </c>
      <c r="B32" t="s">
        <v>63</v>
      </c>
      <c r="C32">
        <v>9</v>
      </c>
      <c r="D32">
        <v>3588.669922</v>
      </c>
      <c r="F32" t="s">
        <v>34</v>
      </c>
      <c r="G32">
        <v>0.99069399999999996</v>
      </c>
    </row>
    <row r="33" spans="1:7">
      <c r="A33" t="s">
        <v>35</v>
      </c>
      <c r="B33" t="s">
        <v>63</v>
      </c>
      <c r="C33">
        <v>10</v>
      </c>
      <c r="D33">
        <v>3654.169922</v>
      </c>
      <c r="F33" t="s">
        <v>34</v>
      </c>
      <c r="G33">
        <v>0.99059399999999997</v>
      </c>
    </row>
    <row r="34" spans="1:7">
      <c r="A34" t="s">
        <v>35</v>
      </c>
      <c r="B34" t="s">
        <v>63</v>
      </c>
      <c r="C34">
        <v>11</v>
      </c>
      <c r="D34">
        <v>3647.1599120000001</v>
      </c>
      <c r="F34" t="s">
        <v>34</v>
      </c>
      <c r="G34">
        <v>0.990506</v>
      </c>
    </row>
    <row r="35" spans="1:7">
      <c r="A35" t="s">
        <v>35</v>
      </c>
      <c r="B35" t="s">
        <v>63</v>
      </c>
      <c r="C35">
        <v>12</v>
      </c>
      <c r="D35">
        <v>3506.790039</v>
      </c>
      <c r="F35" t="s">
        <v>34</v>
      </c>
      <c r="G35">
        <v>0.99098399999999998</v>
      </c>
    </row>
    <row r="36" spans="1:7">
      <c r="A36" t="s">
        <v>35</v>
      </c>
      <c r="B36" t="s">
        <v>63</v>
      </c>
      <c r="C36">
        <v>13</v>
      </c>
      <c r="D36">
        <v>3570.6000979999999</v>
      </c>
      <c r="F36" t="s">
        <v>34</v>
      </c>
      <c r="G36">
        <v>0.99086700000000005</v>
      </c>
    </row>
    <row r="37" spans="1:7">
      <c r="A37" t="s">
        <v>35</v>
      </c>
      <c r="B37" t="s">
        <v>63</v>
      </c>
      <c r="C37">
        <v>14</v>
      </c>
      <c r="D37">
        <v>3533.25</v>
      </c>
      <c r="F37" t="s">
        <v>34</v>
      </c>
      <c r="G37">
        <v>0.99041100000000004</v>
      </c>
    </row>
    <row r="38" spans="1:7">
      <c r="A38" t="s">
        <v>35</v>
      </c>
      <c r="B38" t="s">
        <v>63</v>
      </c>
      <c r="C38">
        <v>15</v>
      </c>
      <c r="D38">
        <v>3626.23999</v>
      </c>
      <c r="F38" t="s">
        <v>34</v>
      </c>
      <c r="G38">
        <v>0.99062300000000003</v>
      </c>
    </row>
    <row r="39" spans="1:7">
      <c r="A39" t="s">
        <v>35</v>
      </c>
      <c r="B39" t="s">
        <v>63</v>
      </c>
      <c r="C39">
        <v>16</v>
      </c>
      <c r="D39">
        <v>3509.679932</v>
      </c>
      <c r="F39" t="s">
        <v>34</v>
      </c>
      <c r="G39">
        <v>0.99085199999999996</v>
      </c>
    </row>
    <row r="40" spans="1:7">
      <c r="A40" t="s">
        <v>35</v>
      </c>
      <c r="B40" t="s">
        <v>63</v>
      </c>
      <c r="C40">
        <v>17</v>
      </c>
      <c r="D40">
        <v>3534.7700199999999</v>
      </c>
      <c r="F40" t="s">
        <v>34</v>
      </c>
      <c r="G40">
        <v>0.99076900000000001</v>
      </c>
    </row>
    <row r="41" spans="1:7">
      <c r="A41" t="s">
        <v>35</v>
      </c>
      <c r="B41" t="s">
        <v>64</v>
      </c>
      <c r="C41">
        <v>1</v>
      </c>
      <c r="D41">
        <v>3645.3701169999999</v>
      </c>
      <c r="F41" t="s">
        <v>34</v>
      </c>
      <c r="G41">
        <v>0.99042399999999997</v>
      </c>
    </row>
    <row r="42" spans="1:7">
      <c r="A42" t="s">
        <v>35</v>
      </c>
      <c r="B42" t="s">
        <v>64</v>
      </c>
      <c r="C42">
        <v>2</v>
      </c>
      <c r="D42">
        <v>3626.6298830000001</v>
      </c>
      <c r="F42" t="s">
        <v>34</v>
      </c>
      <c r="G42">
        <v>0.99064399999999997</v>
      </c>
    </row>
    <row r="43" spans="1:7">
      <c r="A43" t="s">
        <v>35</v>
      </c>
      <c r="B43" t="s">
        <v>64</v>
      </c>
      <c r="C43">
        <v>3</v>
      </c>
      <c r="D43">
        <v>3586.1298830000001</v>
      </c>
      <c r="F43" t="s">
        <v>34</v>
      </c>
      <c r="G43">
        <v>0.99080699999999999</v>
      </c>
    </row>
    <row r="44" spans="1:7">
      <c r="A44" t="s">
        <v>35</v>
      </c>
      <c r="B44" t="s">
        <v>64</v>
      </c>
      <c r="C44">
        <v>4</v>
      </c>
      <c r="D44">
        <v>3609.0900879999999</v>
      </c>
      <c r="F44" t="s">
        <v>34</v>
      </c>
      <c r="G44">
        <v>0.99092599999999997</v>
      </c>
    </row>
    <row r="45" spans="1:7">
      <c r="A45" t="s">
        <v>35</v>
      </c>
      <c r="B45" t="s">
        <v>64</v>
      </c>
      <c r="C45">
        <v>5</v>
      </c>
      <c r="D45">
        <v>3594.6899410000001</v>
      </c>
      <c r="F45" t="s">
        <v>34</v>
      </c>
      <c r="G45">
        <v>0.99086799999999997</v>
      </c>
    </row>
    <row r="46" spans="1:7">
      <c r="A46" t="s">
        <v>35</v>
      </c>
      <c r="B46" t="s">
        <v>64</v>
      </c>
      <c r="C46">
        <v>6</v>
      </c>
      <c r="D46">
        <v>3670.75</v>
      </c>
      <c r="F46" t="s">
        <v>34</v>
      </c>
      <c r="G46">
        <v>0.99079700000000004</v>
      </c>
    </row>
    <row r="47" spans="1:7">
      <c r="A47" t="s">
        <v>35</v>
      </c>
      <c r="B47" t="s">
        <v>64</v>
      </c>
      <c r="C47">
        <v>7</v>
      </c>
      <c r="D47">
        <v>3525.780029</v>
      </c>
      <c r="F47" t="s">
        <v>34</v>
      </c>
      <c r="G47">
        <v>0.99111899999999997</v>
      </c>
    </row>
    <row r="48" spans="1:7">
      <c r="A48" t="s">
        <v>35</v>
      </c>
      <c r="B48" t="s">
        <v>64</v>
      </c>
      <c r="C48">
        <v>8</v>
      </c>
      <c r="D48">
        <v>3618.419922</v>
      </c>
      <c r="F48" t="s">
        <v>34</v>
      </c>
      <c r="G48">
        <v>0.990873</v>
      </c>
    </row>
    <row r="49" spans="1:7">
      <c r="A49" t="s">
        <v>35</v>
      </c>
      <c r="B49" t="s">
        <v>64</v>
      </c>
      <c r="C49">
        <v>9</v>
      </c>
      <c r="D49">
        <v>3546.5900879999999</v>
      </c>
      <c r="F49" t="s">
        <v>34</v>
      </c>
      <c r="G49">
        <v>0.99056599999999995</v>
      </c>
    </row>
    <row r="50" spans="1:7">
      <c r="A50" t="s">
        <v>35</v>
      </c>
      <c r="B50" t="s">
        <v>64</v>
      </c>
      <c r="C50">
        <v>10</v>
      </c>
      <c r="D50">
        <v>3571.459961</v>
      </c>
      <c r="F50" t="s">
        <v>34</v>
      </c>
      <c r="G50">
        <v>0.99067499999999997</v>
      </c>
    </row>
    <row r="51" spans="1:7">
      <c r="A51" t="s">
        <v>35</v>
      </c>
      <c r="B51" t="s">
        <v>64</v>
      </c>
      <c r="C51">
        <v>11</v>
      </c>
      <c r="D51">
        <v>3557.830078</v>
      </c>
      <c r="F51" t="s">
        <v>34</v>
      </c>
      <c r="G51">
        <v>0.99068500000000004</v>
      </c>
    </row>
    <row r="52" spans="1:7">
      <c r="A52" t="s">
        <v>35</v>
      </c>
      <c r="B52" t="s">
        <v>64</v>
      </c>
      <c r="C52">
        <v>12</v>
      </c>
      <c r="D52">
        <v>3513.73999</v>
      </c>
      <c r="F52" t="s">
        <v>34</v>
      </c>
      <c r="G52">
        <v>0.99077899999999997</v>
      </c>
    </row>
    <row r="53" spans="1:7">
      <c r="A53" t="s">
        <v>35</v>
      </c>
      <c r="B53" t="s">
        <v>64</v>
      </c>
      <c r="C53">
        <v>13</v>
      </c>
      <c r="D53">
        <v>3544.4799800000001</v>
      </c>
      <c r="F53" t="s">
        <v>34</v>
      </c>
      <c r="G53">
        <v>0.99072199999999999</v>
      </c>
    </row>
    <row r="54" spans="1:7">
      <c r="A54" t="s">
        <v>35</v>
      </c>
      <c r="B54" t="s">
        <v>64</v>
      </c>
      <c r="C54">
        <v>14</v>
      </c>
      <c r="D54">
        <v>3506.48999</v>
      </c>
      <c r="F54" t="s">
        <v>34</v>
      </c>
      <c r="G54">
        <v>0.99034999999999995</v>
      </c>
    </row>
    <row r="55" spans="1:7">
      <c r="A55" t="s">
        <v>35</v>
      </c>
      <c r="B55" t="s">
        <v>64</v>
      </c>
      <c r="C55">
        <v>15</v>
      </c>
      <c r="D55">
        <v>3553.639893</v>
      </c>
      <c r="F55" t="s">
        <v>34</v>
      </c>
      <c r="G55">
        <v>0.99062399999999995</v>
      </c>
    </row>
    <row r="56" spans="1:7">
      <c r="A56" t="s">
        <v>35</v>
      </c>
      <c r="B56" t="s">
        <v>64</v>
      </c>
      <c r="C56">
        <v>16</v>
      </c>
      <c r="D56">
        <v>3458.4799800000001</v>
      </c>
      <c r="F56" t="s">
        <v>34</v>
      </c>
      <c r="G56">
        <v>0.99080199999999996</v>
      </c>
    </row>
    <row r="57" spans="1:7">
      <c r="A57" t="s">
        <v>35</v>
      </c>
      <c r="B57" t="s">
        <v>64</v>
      </c>
      <c r="C57">
        <v>17</v>
      </c>
      <c r="D57">
        <v>3515.169922</v>
      </c>
      <c r="F57" t="s">
        <v>34</v>
      </c>
      <c r="G57">
        <v>0.99072499999999997</v>
      </c>
    </row>
    <row r="58" spans="1:7">
      <c r="A58"/>
      <c r="B58"/>
      <c r="C58"/>
      <c r="D58"/>
      <c r="F58"/>
    </row>
    <row r="59" spans="1:7">
      <c r="A59"/>
      <c r="B59"/>
      <c r="C59"/>
      <c r="D59"/>
      <c r="F59"/>
    </row>
    <row r="60" spans="1:7">
      <c r="A60"/>
      <c r="B60"/>
      <c r="C60"/>
      <c r="D60"/>
      <c r="F60"/>
    </row>
    <row r="61" spans="1:7">
      <c r="A61"/>
      <c r="B61"/>
      <c r="C61"/>
      <c r="D61"/>
      <c r="F61"/>
    </row>
    <row r="62" spans="1:7">
      <c r="A62"/>
      <c r="B62"/>
      <c r="C62"/>
      <c r="D62"/>
      <c r="F62"/>
    </row>
    <row r="63" spans="1:7">
      <c r="A63"/>
      <c r="B63"/>
      <c r="C63"/>
      <c r="D63"/>
      <c r="F63"/>
    </row>
    <row r="64" spans="1:7">
      <c r="A64"/>
      <c r="B64"/>
      <c r="C64"/>
      <c r="D64"/>
      <c r="F64"/>
    </row>
    <row r="65" spans="1:6">
      <c r="A65"/>
      <c r="B65"/>
      <c r="C65"/>
      <c r="D65"/>
      <c r="F65"/>
    </row>
    <row r="66" spans="1:6">
      <c r="A66"/>
      <c r="B66"/>
      <c r="C66"/>
      <c r="D66"/>
      <c r="F66"/>
    </row>
    <row r="67" spans="1:6">
      <c r="A67"/>
      <c r="B67"/>
      <c r="C67"/>
      <c r="D67"/>
      <c r="F67"/>
    </row>
    <row r="68" spans="1:6">
      <c r="A68"/>
      <c r="B68"/>
      <c r="C68"/>
      <c r="D68"/>
      <c r="F68"/>
    </row>
    <row r="69" spans="1:6">
      <c r="A69"/>
      <c r="B69"/>
      <c r="C69"/>
      <c r="D69"/>
      <c r="F69"/>
    </row>
    <row r="70" spans="1:6">
      <c r="A70"/>
      <c r="B70"/>
      <c r="C70"/>
      <c r="D70"/>
      <c r="F70"/>
    </row>
    <row r="71" spans="1:6">
      <c r="A71"/>
      <c r="B71"/>
      <c r="C71"/>
      <c r="D71"/>
      <c r="F71"/>
    </row>
    <row r="72" spans="1:6">
      <c r="A72"/>
      <c r="B72"/>
      <c r="C72"/>
      <c r="D72"/>
      <c r="F72"/>
    </row>
    <row r="73" spans="1:6">
      <c r="A73"/>
      <c r="B73"/>
      <c r="C73"/>
      <c r="D73"/>
      <c r="F73"/>
    </row>
    <row r="74" spans="1:6">
      <c r="A74"/>
      <c r="B74"/>
      <c r="C74"/>
      <c r="D74"/>
      <c r="F74"/>
    </row>
    <row r="75" spans="1:6">
      <c r="A75"/>
      <c r="B75"/>
      <c r="C75"/>
      <c r="D75"/>
      <c r="F75"/>
    </row>
    <row r="76" spans="1:6">
      <c r="A76"/>
      <c r="B76"/>
      <c r="C76"/>
      <c r="D76"/>
      <c r="F76"/>
    </row>
    <row r="77" spans="1:6">
      <c r="A77"/>
      <c r="B77"/>
      <c r="C77"/>
      <c r="D77"/>
      <c r="F77"/>
    </row>
    <row r="78" spans="1:6">
      <c r="A78"/>
      <c r="B78"/>
      <c r="C78"/>
      <c r="D78"/>
      <c r="F78"/>
    </row>
    <row r="79" spans="1:6">
      <c r="A79"/>
      <c r="B79"/>
      <c r="C79"/>
      <c r="D79"/>
      <c r="F79"/>
    </row>
    <row r="80" spans="1:6">
      <c r="A80"/>
      <c r="B80"/>
      <c r="C80"/>
      <c r="D80"/>
      <c r="F80"/>
    </row>
    <row r="81" spans="1:6">
      <c r="A81"/>
      <c r="B81"/>
      <c r="C81"/>
      <c r="D81"/>
      <c r="F81"/>
    </row>
    <row r="82" spans="1:6">
      <c r="A82"/>
      <c r="B82"/>
      <c r="C82"/>
      <c r="D82"/>
      <c r="F82"/>
    </row>
    <row r="83" spans="1:6">
      <c r="A83"/>
      <c r="B83"/>
      <c r="C83"/>
      <c r="D83"/>
      <c r="F83"/>
    </row>
    <row r="84" spans="1:6">
      <c r="A84"/>
      <c r="B84"/>
      <c r="C84"/>
      <c r="D84"/>
      <c r="F84"/>
    </row>
    <row r="85" spans="1:6">
      <c r="A85"/>
      <c r="B85"/>
      <c r="C85"/>
      <c r="D85"/>
      <c r="F85"/>
    </row>
    <row r="86" spans="1:6">
      <c r="A86"/>
      <c r="B86"/>
      <c r="C86"/>
      <c r="D86"/>
      <c r="F86"/>
    </row>
    <row r="87" spans="1:6">
      <c r="A87"/>
      <c r="B87"/>
      <c r="C87"/>
      <c r="D87"/>
      <c r="F87"/>
    </row>
    <row r="88" spans="1:6">
      <c r="A88"/>
      <c r="B88"/>
      <c r="C88"/>
      <c r="D88"/>
      <c r="F88"/>
    </row>
    <row r="89" spans="1:6">
      <c r="A89"/>
      <c r="B89"/>
      <c r="C89"/>
      <c r="D89"/>
      <c r="F89"/>
    </row>
    <row r="90" spans="1:6">
      <c r="A90"/>
      <c r="B90"/>
      <c r="C90"/>
      <c r="D90"/>
      <c r="F90"/>
    </row>
    <row r="91" spans="1:6">
      <c r="A91"/>
      <c r="B91"/>
      <c r="C91"/>
      <c r="D91"/>
      <c r="F91"/>
    </row>
  </sheetData>
  <mergeCells count="2">
    <mergeCell ref="A1:E1"/>
    <mergeCell ref="A5:F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40"/>
  <sheetViews>
    <sheetView topLeftCell="A20" zoomScaleNormal="100" workbookViewId="0">
      <selection activeCell="Z48" sqref="Z48"/>
    </sheetView>
  </sheetViews>
  <sheetFormatPr baseColWidth="10" defaultColWidth="9" defaultRowHeight="13"/>
  <sheetData>
    <row r="1" spans="1:24">
      <c r="A1" s="50" t="s">
        <v>39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</row>
    <row r="2" spans="1:24" hidden="1">
      <c r="A2" s="44" t="s">
        <v>40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</row>
    <row r="3" spans="1:24" hidden="1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</row>
    <row r="4" spans="1:24" hidden="1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</row>
    <row r="5" spans="1:24" hidden="1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</row>
    <row r="6" spans="1:24" hidden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</row>
    <row r="7" spans="1:24" hidden="1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</row>
    <row r="8" spans="1:24" hidden="1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</row>
    <row r="9" spans="1:24" hidden="1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</row>
    <row r="10" spans="1:24" hidden="1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</row>
    <row r="11" spans="1:24" hidden="1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</row>
    <row r="12" spans="1:24" hidden="1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</row>
    <row r="13" spans="1:24" hidden="1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</row>
    <row r="14" spans="1:24" hidden="1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</row>
    <row r="15" spans="1:24" hidden="1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</row>
    <row r="16" spans="1:24" hidden="1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</row>
    <row r="17" spans="1:24" hidden="1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</row>
    <row r="18" spans="1:24" hidden="1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</row>
    <row r="19" spans="1:24" hidden="1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</row>
    <row r="21" spans="1:24" hidden="1"/>
    <row r="22" spans="1:24" hidden="1"/>
    <row r="23" spans="1:24" hidden="1"/>
    <row r="24" spans="1:24" hidden="1"/>
    <row r="25" spans="1:24" hidden="1"/>
    <row r="26" spans="1:24" hidden="1"/>
    <row r="27" spans="1:24" hidden="1"/>
    <row r="28" spans="1:24" hidden="1"/>
    <row r="29" spans="1:24" hidden="1"/>
    <row r="30" spans="1:24" hidden="1"/>
    <row r="40" spans="1:1">
      <c r="A40" t="s">
        <v>37</v>
      </c>
    </row>
  </sheetData>
  <mergeCells count="2">
    <mergeCell ref="A1:W1"/>
    <mergeCell ref="A2:X1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Chart</vt:lpstr>
      <vt:lpstr>Query</vt:lpstr>
      <vt:lpstr>Criteria</vt:lpstr>
      <vt:lpstr>introduction</vt:lpstr>
      <vt:lpstr>Criteria!Criteria</vt:lpstr>
      <vt:lpstr>Query!str1_</vt:lpstr>
      <vt:lpstr>Criteria!提取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孔昊 haokong</dc:creator>
  <cp:lastModifiedBy>hao little</cp:lastModifiedBy>
  <dcterms:created xsi:type="dcterms:W3CDTF">2023-04-23T03:59:37Z</dcterms:created>
  <dcterms:modified xsi:type="dcterms:W3CDTF">2024-05-29T15:19:06Z</dcterms:modified>
</cp:coreProperties>
</file>